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How to use" sheetId="1" r:id="rId5"/>
    <sheet name="Priorities" sheetId="2" r:id="rId6"/>
    <sheet name="Summary" sheetId="3" r:id="rId7"/>
  </sheets>
</workbook>
</file>

<file path=xl/comments1.xml><?xml version="1.0" encoding="utf-8"?>
<comments xmlns="http://schemas.openxmlformats.org/spreadsheetml/2006/main">
  <authors>
    <author>Diogo Gonçalves</author>
  </authors>
  <commentList>
    <comment ref="G2" authorId="0">
      <text>
        <r>
          <rPr>
            <sz val="11"/>
            <color indexed="8"/>
            <rFont val="Helvetica Neue"/>
          </rPr>
          <t>Diogo Gonçalves:
Apple only as mvp. Google as nice to have</t>
        </r>
      </text>
    </comment>
  </commentList>
</comments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<sst xmlns="http://schemas.openxmlformats.org/spreadsheetml/2006/main" uniqueCount="613">
  <si>
    <t>Feature priorities — Gardening Companion</t>
  </si>
  <si>
    <t>1. Open the "Priorities" sheet.</t>
  </si>
  <si>
    <t>2. In the yellow "Your priority" column, pick one value for each row:</t>
  </si>
  <si>
    <t xml:space="preserve">     • MVP — needed in the first usable version</t>
  </si>
  <si>
    <t xml:space="preserve">     • Good to have — after the MVP, still planned</t>
  </si>
  <si>
    <t xml:space="preserve">     • Future improvement — later, maybe</t>
  </si>
  <si>
    <t>3. "Suggested" is Claude's suggestion, for reference only. Change anything.</t>
  </si>
  <si>
    <t>4. Use "Your notes" for comments or changes to a row.</t>
  </si>
  <si>
    <t>5. Only edit the yellow columns. The "Summary" sheet counts your choices automatically.</t>
  </si>
  <si>
    <t>6. Rows marked "Decided earlier: not in MVP" were already agreed as later — change them if you've changed your mind.</t>
  </si>
  <si>
    <t>7. When finished, export as Excel (Share → Export → Excel) and send the file back in the chat.</t>
  </si>
  <si>
    <t>Example: row "Plot boundary on satellite map" → Your priority: MVP → Your notes: "Tap corners is enough"</t>
  </si>
  <si>
    <t>ID</t>
  </si>
  <si>
    <t>Feature</t>
  </si>
  <si>
    <t>Sub-feature</t>
  </si>
  <si>
    <t>What it means</t>
  </si>
  <si>
    <t>Your priority</t>
  </si>
  <si>
    <t>Suggested</t>
  </si>
  <si>
    <t>Your notes</t>
  </si>
  <si>
    <t>Info</t>
  </si>
  <si>
    <t>0.1</t>
  </si>
  <si>
    <t>Foundations</t>
  </si>
  <si>
    <t>Sign-in and accounts</t>
  </si>
  <si>
    <t>Entra External ID sign-in (email, Apple, Google); every record belongs to a user</t>
  </si>
  <si>
    <t>MVP</t>
  </si>
  <si>
    <t>Needed by almost everything</t>
  </si>
  <si>
    <t>0.2</t>
  </si>
  <si>
    <t>Portuguese and English</t>
  </si>
  <si>
    <t>Whole app and content in pt-PT and English</t>
  </si>
  <si>
    <t>Decided earlier: first version</t>
  </si>
  <si>
    <t>0.3</t>
  </si>
  <si>
    <t>Offline sync</t>
  </si>
  <si>
    <t>Work offline and sync later; you resolve conflicts yourself</t>
  </si>
  <si>
    <t>Good to have</t>
  </si>
  <si>
    <t>Needed by journal, tasks, map</t>
  </si>
  <si>
    <t>0.4</t>
  </si>
  <si>
    <t>Activity log</t>
  </si>
  <si>
    <t>Permanent history of everything done; base for roadmap, journal and AI</t>
  </si>
  <si>
    <t>Needed by roadmap, journal and AI</t>
  </si>
  <si>
    <t>0.5</t>
  </si>
  <si>
    <t>Knowledge base pipeline</t>
  </si>
  <si>
    <t>Crops, guides and tools kept in git (PT/EN), published to the app and AI</t>
  </si>
  <si>
    <t>Needed by calendar, guides and AI</t>
  </si>
  <si>
    <t>0.6</t>
  </si>
  <si>
    <t>Account deletion and data export</t>
  </si>
  <si>
    <t>Required by Apple and Google for apps with accounts</t>
  </si>
  <si>
    <t>Store requirement</t>
  </si>
  <si>
    <t>0.7</t>
  </si>
  <si>
    <t>Android app</t>
  </si>
  <si>
    <t>Port each stable iOS milestone to Android</t>
  </si>
  <si>
    <t>Decided earlier: iOS first</t>
  </si>
  <si>
    <t>3.1.1</t>
  </si>
  <si>
    <t>Project roadmap</t>
  </si>
  <si>
    <t>Next actions (rules)</t>
  </si>
  <si>
    <t>Fixed agronomy rules work out the next actions per zone, with safety limits</t>
  </si>
  <si>
    <t>3.1.2</t>
  </si>
  <si>
    <t>Next actions (AI)</t>
  </si>
  <si>
    <t>AI ranks and adapts next actions, explains why</t>
  </si>
  <si>
    <t>Future improvement</t>
  </si>
  <si>
    <t>3.1.3</t>
  </si>
  <si>
    <t>Per-zone stages</t>
  </si>
  <si>
    <t>Each zone has its own stage, worked out from its state</t>
  </si>
  <si>
    <t>3.1.4</t>
  </si>
  <si>
    <t>Starting point</t>
  </si>
  <si>
    <t>Setup asks what already exists so you don't start from zero</t>
  </si>
  <si>
    <t>3.1.5</t>
  </si>
  <si>
    <t>Season-aware timing</t>
  </si>
  <si>
    <t>Actions scheduled in their ideal time window for your climate</t>
  </si>
  <si>
    <t>3.1.6</t>
  </si>
  <si>
    <t>Time and cost estimates</t>
  </si>
  <si>
    <t>Rough time and cost for each action</t>
  </si>
  <si>
    <t>3.1.7</t>
  </si>
  <si>
    <t>Deviation handling</t>
  </si>
  <si>
    <t>Mark actions as done differently, skipped, not possible or a problem; plan adapts</t>
  </si>
  <si>
    <t>3.1.8</t>
  </si>
  <si>
    <t>Content freshness review</t>
  </si>
  <si>
    <t>AI proposes updates to outdated content; you review before publishing</t>
  </si>
  <si>
    <t>3.3.1</t>
  </si>
  <si>
    <t>Plot mapping</t>
  </si>
  <si>
    <t>Plot boundary on satellite map</t>
  </si>
  <si>
    <t>Draw the plot by tapping corners</t>
  </si>
  <si>
    <t>3.3.2</t>
  </si>
  <si>
    <t>Walk boundary with GPS</t>
  </si>
  <si>
    <t>Walk around the plot to draw it</t>
  </si>
  <si>
    <t>3.3.3</t>
  </si>
  <si>
    <t>Zones and beds</t>
  </si>
  <si>
    <t>Draw zones and beds, or enter exact dimensions</t>
  </si>
  <si>
    <t>3.3.4</t>
  </si>
  <si>
    <t>Points of interest</t>
  </si>
  <si>
    <t>Water, electricity, access, buildings, trees with heights</t>
  </si>
  <si>
    <t>Irrigation needs water sources</t>
  </si>
  <si>
    <t>3.3.5</t>
  </si>
  <si>
    <t>Area, sun and slope</t>
  </si>
  <si>
    <t>Calculated automatically from the map and elevation data</t>
  </si>
  <si>
    <t>3.3.6</t>
  </si>
  <si>
    <t>Soil type estimate</t>
  </si>
  <si>
    <t>Estimated from global soil maps (SoilGrids), no tests</t>
  </si>
  <si>
    <t>3.3.7</t>
  </si>
  <si>
    <t>Shade estimation</t>
  </si>
  <si>
    <t>Shade from trees and buildings over the day and year, plus observed shade</t>
  </si>
  <si>
    <t>3.3.8</t>
  </si>
  <si>
    <t>Prevailing wind</t>
  </si>
  <si>
    <t>Wind direction from weather data, windbreak suggestions</t>
  </si>
  <si>
    <t>3.3.9</t>
  </si>
  <si>
    <t>Layout designer</t>
  </si>
  <si>
    <t>Beds with real dimensions, paths, row direction</t>
  </si>
  <si>
    <t>3.3.10</t>
  </si>
  <si>
    <t>Measuring tool</t>
  </si>
  <si>
    <t>Measure distances on the map (e.g. pipe length)</t>
  </si>
  <si>
    <t>3.3.11</t>
  </si>
  <si>
    <t>Layout history</t>
  </si>
  <si>
    <t>Each season's layout kept as a version</t>
  </si>
  <si>
    <t>Rotation planner needs it</t>
  </si>
  <si>
    <t>3.3.12</t>
  </si>
  <si>
    <t>Several plots per user</t>
  </si>
  <si>
    <t>e.g. a backyard and a separate field</t>
  </si>
  <si>
    <t>Decided earlier: not in MVP</t>
  </si>
  <si>
    <t>3.4.1</t>
  </si>
  <si>
    <t>Site assessment</t>
  </si>
  <si>
    <t>AI photo assessment</t>
  </si>
  <si>
    <t>Vegetation to clear, problem plants, trees to keep, obstacles, terrain, water problems, infrastructure</t>
  </si>
  <si>
    <t>3.4.2</t>
  </si>
  <si>
    <t>Wildlife pressure</t>
  </si>
  <si>
    <t>Signs of rabbits, wild boar, birds, moles; fencing advice</t>
  </si>
  <si>
    <t>3.4.3</t>
  </si>
  <si>
    <t>Fixed photo spots</t>
  </si>
  <si>
    <t>Guided photos from the same spots for before-and-after</t>
  </si>
  <si>
    <t>3.4.4</t>
  </si>
  <si>
    <t>Walk-around video</t>
  </si>
  <si>
    <t>Film a zone; the app picks frames for the AI</t>
  </si>
  <si>
    <t>3.4.5</t>
  </si>
  <si>
    <t>Equipment advice</t>
  </si>
  <si>
    <t>Buy, rent or borrow big equipment (follows "always own")</t>
  </si>
  <si>
    <t>3.4.6</t>
  </si>
  <si>
    <t>Re-assessments</t>
  </si>
  <si>
    <t>Repeat the assessment to track progress</t>
  </si>
  <si>
    <t>3.5.1</t>
  </si>
  <si>
    <t>Planting calendar</t>
  </si>
  <si>
    <t>Climate-based windows</t>
  </si>
  <si>
    <t>Sow, plant-out and harvest windows from local climate history</t>
  </si>
  <si>
    <t>3.5.2</t>
  </si>
  <si>
    <t>Too-hot windows</t>
  </si>
  <si>
    <t>Avoid heat for crops that bolt or stop fruiting</t>
  </si>
  <si>
    <t>Critical in Alentejo</t>
  </si>
  <si>
    <t>3.5.3</t>
  </si>
  <si>
    <t>Month view and "This week"</t>
  </si>
  <si>
    <t>Calendar views</t>
  </si>
  <si>
    <t>3.5.4</t>
  </si>
  <si>
    <t>Forecast adjustment</t>
  </si>
  <si>
    <t>Windows shifted by the weather forecast</t>
  </si>
  <si>
    <t>3.5.5</t>
  </si>
  <si>
    <t>Zone fit</t>
  </si>
  <si>
    <t>What can be planted now in each zone (sun and shade)</t>
  </si>
  <si>
    <t>3.5.6</t>
  </si>
  <si>
    <t>Varieties</t>
  </si>
  <si>
    <t>Early and late varieties with different timing</t>
  </si>
  <si>
    <t>3.5.7</t>
  </si>
  <si>
    <t>Day length</t>
  </si>
  <si>
    <t>Varieties suited to your latitude (e.g. short-day onions)</t>
  </si>
  <si>
    <t>3.5.8</t>
  </si>
  <si>
    <t>Heat-based harvest estimates</t>
  </si>
  <si>
    <t>Harvest dates from heat received since sowing</t>
  </si>
  <si>
    <t>3.5.9</t>
  </si>
  <si>
    <t>Staggered sowing reminders</t>
  </si>
  <si>
    <t>e.g. lettuce every 2–3 weeks</t>
  </si>
  <si>
    <t>3.5.10</t>
  </si>
  <si>
    <t>Export to phone calendar</t>
  </si>
  <si>
    <t>Add sowing and harvest dates to iOS Calendar</t>
  </si>
  <si>
    <t>3.6.1</t>
  </si>
  <si>
    <t>Choosing your crops</t>
  </si>
  <si>
    <t>Pick crops</t>
  </si>
  <si>
    <t>Choose crops with variety, priority and quantity</t>
  </si>
  <si>
    <t>3.6.2</t>
  </si>
  <si>
    <t>Ranked suggestions</t>
  </si>
  <si>
    <t>Crops ranked by fit for your location, with reasons</t>
  </si>
  <si>
    <t>3.6.3</t>
  </si>
  <si>
    <t>Poor-fit warnings</t>
  </si>
  <si>
    <t>Warns about a bad crop or timing, never blocks</t>
  </si>
  <si>
    <t>3.6.4</t>
  </si>
  <si>
    <t>How much to plant</t>
  </si>
  <si>
    <t>Number of plants and space from the quantity you want</t>
  </si>
  <si>
    <t>3.6.5</t>
  </si>
  <si>
    <t>AI explanation</t>
  </si>
  <si>
    <t>Personalised AI explanation of the suggestions</t>
  </si>
  <si>
    <t>3.7.1</t>
  </si>
  <si>
    <t>Guides</t>
  </si>
  <si>
    <t>Step-by-step guides with sources</t>
  </si>
  <si>
    <t>PT and EN guides citing sources, with review dates</t>
  </si>
  <si>
    <t>3.7.2</t>
  </si>
  <si>
    <t>Standard step layout</t>
  </si>
  <si>
    <t>What to do, illustration, tools, time, safety, mistakes, "done right" check</t>
  </si>
  <si>
    <t>3.7.3</t>
  </si>
  <si>
    <t>Technique guides</t>
  </si>
  <si>
    <t>Clearing, beds, drip irrigation, mulching, compost, sowing, planting out…</t>
  </si>
  <si>
    <t>3.7.4</t>
  </si>
  <si>
    <t>Crop guides</t>
  </si>
  <si>
    <t>Each crop from sowing to harvest</t>
  </si>
  <si>
    <t>3.7.5</t>
  </si>
  <si>
    <t>Problem guides</t>
  </si>
  <si>
    <t>Pests and diseases, organic methods first</t>
  </si>
  <si>
    <t>3.7.6</t>
  </si>
  <si>
    <t>Quantities from your numbers</t>
  </si>
  <si>
    <t>e.g. compost for your exact bed size</t>
  </si>
  <si>
    <t>3.7.7</t>
  </si>
  <si>
    <t>Doing mode with read-aloud</t>
  </si>
  <si>
    <t>Big text, one step at a time, spoken steps</t>
  </si>
  <si>
    <t>3.7.8</t>
  </si>
  <si>
    <t>Ask AI about a step</t>
  </si>
  <si>
    <t>Ask the AI about the step you're on</t>
  </si>
  <si>
    <t>3.7.9</t>
  </si>
  <si>
    <t>Photo check of your work</t>
  </si>
  <si>
    <t>AI checks a photo of the finished step</t>
  </si>
  <si>
    <t>3.7.10</t>
  </si>
  <si>
    <t>Unclear-step feedback</t>
  </si>
  <si>
    <t>Flag unclear steps for content review</t>
  </si>
  <si>
    <t>3.7.11</t>
  </si>
  <si>
    <t>Offline download</t>
  </si>
  <si>
    <t>Text and images available offline</t>
  </si>
  <si>
    <t>3.7.12</t>
  </si>
  <si>
    <t>Selected videos</t>
  </si>
  <si>
    <t>Links to good videos, with a broken-link check</t>
  </si>
  <si>
    <t>3.7.13</t>
  </si>
  <si>
    <t>AI illustrations</t>
  </si>
  <si>
    <t>gpt-image illustrations plus diagrams, reviewed by you</t>
  </si>
  <si>
    <t>3.7.14</t>
  </si>
  <si>
    <t>AI-generated video or animations</t>
  </si>
  <si>
    <t>Generated once per guide and reviewed</t>
  </si>
  <si>
    <t>3.8.1</t>
  </si>
  <si>
    <t>Journal and timeline</t>
  </si>
  <si>
    <t>Entries with photos and notes</t>
  </si>
  <si>
    <t>Log what you did per zone, bed or planting</t>
  </si>
  <si>
    <t>3.8.2</t>
  </si>
  <si>
    <t>Quick and bulk logging</t>
  </si>
  <si>
    <t>One tap; several beds at once</t>
  </si>
  <si>
    <t>3.8.3</t>
  </si>
  <si>
    <t>Voice notes</t>
  </si>
  <si>
    <t>Dictate notes in the field</t>
  </si>
  <si>
    <t>3.8.4</t>
  </si>
  <si>
    <t>Automatic entries</t>
  </si>
  <si>
    <t>Completing actions, tasks or guide steps logs them</t>
  </si>
  <si>
    <t>3.8.5</t>
  </si>
  <si>
    <t>Weather on each day</t>
  </si>
  <si>
    <t>Day's rain and temperatures attached automatically</t>
  </si>
  <si>
    <t>3.8.6</t>
  </si>
  <si>
    <t>Change the date</t>
  </si>
  <si>
    <t>Log things after the fact</t>
  </si>
  <si>
    <t>3.8.7</t>
  </si>
  <si>
    <t>Timeline views</t>
  </si>
  <si>
    <t>History for a zone, bed or planting</t>
  </si>
  <si>
    <t>3.8.8</t>
  </si>
  <si>
    <t>Photo time-lapse</t>
  </si>
  <si>
    <t>From the fixed photo spots</t>
  </si>
  <si>
    <t>3.8.9</t>
  </si>
  <si>
    <t>Harvest log</t>
  </si>
  <si>
    <t>Weight or count per crop, compared with expected</t>
  </si>
  <si>
    <t>3.8.10</t>
  </si>
  <si>
    <t>Harvest value</t>
  </si>
  <si>
    <t>Estimated value using prices you enter</t>
  </si>
  <si>
    <t>3.8.11</t>
  </si>
  <si>
    <t>Search and filters</t>
  </si>
  <si>
    <t>Find past entries</t>
  </si>
  <si>
    <t>3.8.12</t>
  </si>
  <si>
    <t>Export CSV/PDF</t>
  </si>
  <si>
    <t>Export your journal</t>
  </si>
  <si>
    <t>3.9.1</t>
  </si>
  <si>
    <t>Tasks and reminders</t>
  </si>
  <si>
    <t>Tasks from all sources</t>
  </si>
  <si>
    <t>Roadmap, calendar, care, weather, AI and your own</t>
  </si>
  <si>
    <t>3.9.2</t>
  </si>
  <si>
    <t>Task details</t>
  </si>
  <si>
    <t>Date range, time estimate, priority, guide link</t>
  </si>
  <si>
    <t>3.9.3</t>
  </si>
  <si>
    <t>Tools check</t>
  </si>
  <si>
    <t>Warns if a tool you need is missing</t>
  </si>
  <si>
    <t>3.9.4</t>
  </si>
  <si>
    <t>Task outcomes</t>
  </si>
  <si>
    <t>Done, skipped or couldn't do (with reason)</t>
  </si>
  <si>
    <t>3.9.5</t>
  </si>
  <si>
    <t>Today, Week and zone views</t>
  </si>
  <si>
    <t>Task list views</t>
  </si>
  <si>
    <t>3.9.6</t>
  </si>
  <si>
    <t>Weekend planner</t>
  </si>
  <si>
    <t>Pick the best tasks for the hours you have</t>
  </si>
  <si>
    <t>3.9.7</t>
  </si>
  <si>
    <t>Weather-aware rescheduling</t>
  </si>
  <si>
    <t>Skip watering before rain, water early in heat…</t>
  </si>
  <si>
    <t>3.9.8</t>
  </si>
  <si>
    <t>Repeating tasks</t>
  </si>
  <si>
    <t>e.g. weekly feeding</t>
  </si>
  <si>
    <t>3.9.9</t>
  </si>
  <si>
    <t>Missed-task alternatives</t>
  </si>
  <si>
    <t>Roadmap suggests an alternative when a window is missed</t>
  </si>
  <si>
    <t>3.9.10</t>
  </si>
  <si>
    <t>On-phone reminders</t>
  </si>
  <si>
    <t>Reminders that work offline</t>
  </si>
  <si>
    <t>3.9.11</t>
  </si>
  <si>
    <t>Morning summary</t>
  </si>
  <si>
    <t>One daily notification instead of many</t>
  </si>
  <si>
    <t>3.9.12</t>
  </si>
  <si>
    <t>Quiet hours</t>
  </si>
  <si>
    <t>No notifications at set times</t>
  </si>
  <si>
    <t>3.9.13</t>
  </si>
  <si>
    <t>Share tasks with family</t>
  </si>
  <si>
    <t>Helpers see and do tasks</t>
  </si>
  <si>
    <t>3.10.1</t>
  </si>
  <si>
    <t>Tools</t>
  </si>
  <si>
    <t>My tools with reference images</t>
  </si>
  <si>
    <t>List of owned tools, each with an image to recognise it</t>
  </si>
  <si>
    <t>3.10.2</t>
  </si>
  <si>
    <t>Own photo of a tool</t>
  </si>
  <si>
    <t>Replace the reference image with your photo</t>
  </si>
  <si>
    <t>3.10.3</t>
  </si>
  <si>
    <t>Tools needed per action</t>
  </si>
  <si>
    <t>Actions, tasks and guides list their tools</t>
  </si>
  <si>
    <t>3.10.4</t>
  </si>
  <si>
    <t>"Tools to get" list</t>
  </si>
  <si>
    <t>Missing tools ordered by when needed</t>
  </si>
  <si>
    <t>3.10.5</t>
  </si>
  <si>
    <t>"Always own" setting</t>
  </si>
  <si>
    <t>Default to buy; hide rent and borrow</t>
  </si>
  <si>
    <t>You use this setting</t>
  </si>
  <si>
    <t>3.10.6</t>
  </si>
  <si>
    <t>Starter toolkit</t>
  </si>
  <si>
    <t>Recommended set for your plot: essential vs nice to have</t>
  </si>
  <si>
    <t>3.10.7</t>
  </si>
  <si>
    <t>Buy/rent/borrow advice</t>
  </si>
  <si>
    <t>For big equipment (hidden when "always own" is on)</t>
  </si>
  <si>
    <t>3.10.8</t>
  </si>
  <si>
    <t>Maintenance reminders</t>
  </si>
  <si>
    <t>Sharpen, clean, store before frost</t>
  </si>
  <si>
    <t>3.10.9</t>
  </si>
  <si>
    <t>Shop links and affiliates</t>
  </si>
  <si>
    <t>Commercial idea</t>
  </si>
  <si>
    <t>3.11.1</t>
  </si>
  <si>
    <t>Irrigation planner</t>
  </si>
  <si>
    <t>Water sources and bucket test</t>
  </si>
  <si>
    <t>Sources from the map; measure flow rate</t>
  </si>
  <si>
    <t>3.11.2</t>
  </si>
  <si>
    <t>Method per bed</t>
  </si>
  <si>
    <t>Drip line, drippers, soaker hose or sprinklers</t>
  </si>
  <si>
    <t>3.11.3</t>
  </si>
  <si>
    <t>System layout on map</t>
  </si>
  <si>
    <t>Main pipe, branches, drip lines per bed</t>
  </si>
  <si>
    <t>3.11.4</t>
  </si>
  <si>
    <t>Flow check and sectors</t>
  </si>
  <si>
    <t>Split into sectors if flow is too low; filter, regulator, backflow</t>
  </si>
  <si>
    <t>3.11.5</t>
  </si>
  <si>
    <t>Parts list</t>
  </si>
  <si>
    <t>For information only</t>
  </si>
  <si>
    <t>3.11.6</t>
  </si>
  <si>
    <t>Watering schedule</t>
  </si>
  <si>
    <t>Run times from crop and season guidance, adjusted by weather; creates tasks</t>
  </si>
  <si>
    <t>3.11.7</t>
  </si>
  <si>
    <t>Hand-watering guidance</t>
  </si>
  <si>
    <t>Before a system is installed</t>
  </si>
  <si>
    <t>3.11.8</t>
  </si>
  <si>
    <t>Mulching advice</t>
  </si>
  <si>
    <t>Reduce water use</t>
  </si>
  <si>
    <t>3.11.9</t>
  </si>
  <si>
    <t>Rainwater harvesting estimate</t>
  </si>
  <si>
    <t>Roof area × rainfall, tank size</t>
  </si>
  <si>
    <t>3.11.10</t>
  </si>
  <si>
    <t>Seasonal reminders</t>
  </si>
  <si>
    <t>Flush lines, clean filters, drain before frost</t>
  </si>
  <si>
    <t>3.11.11</t>
  </si>
  <si>
    <t>Smart controllers and sensors</t>
  </si>
  <si>
    <t>Connect irrigation controllers and soil moisture sensors</t>
  </si>
  <si>
    <t>3.12.1</t>
  </si>
  <si>
    <t>Weather alerts</t>
  </si>
  <si>
    <t>Crop-aware alerts</t>
  </si>
  <si>
    <t>Frost, heat, wind, rain, hail, storms, dry spells — only when your crops are at risk</t>
  </si>
  <si>
    <t>3.12.2</t>
  </si>
  <si>
    <t>Skip-watering notices</t>
  </si>
  <si>
    <t>Rain is coming</t>
  </si>
  <si>
    <t>3.12.3</t>
  </si>
  <si>
    <t>Good-conditions alerts</t>
  </si>
  <si>
    <t>e.g. good day to plant out</t>
  </si>
  <si>
    <t>3.12.4</t>
  </si>
  <si>
    <t>Actions as tasks</t>
  </si>
  <si>
    <t>Each alert creates tasks with guide links</t>
  </si>
  <si>
    <t>3.12.5</t>
  </si>
  <si>
    <t>Severity and confidence</t>
  </si>
  <si>
    <t>Watch vs warning; forecast confidence</t>
  </si>
  <si>
    <t>3.12.6</t>
  </si>
  <si>
    <t>Quiet-hours override</t>
  </si>
  <si>
    <t>Urgent alerts break through quiet hours</t>
  </si>
  <si>
    <t>3.12.7</t>
  </si>
  <si>
    <t>7-day weather screen</t>
  </si>
  <si>
    <t>Forecast with gardening notes</t>
  </si>
  <si>
    <t>3.12.8</t>
  </si>
  <si>
    <t>Follow-up after event</t>
  </si>
  <si>
    <t>Check plants and log damage after frost or storm</t>
  </si>
  <si>
    <t>3.12.9</t>
  </si>
  <si>
    <t>IPMA official warnings</t>
  </si>
  <si>
    <t>Portuguese official weather warnings</t>
  </si>
  <si>
    <t>3.12.10</t>
  </si>
  <si>
    <t>Other countries' warnings</t>
  </si>
  <si>
    <t>MeteoAlarm or national services</t>
  </si>
  <si>
    <t>3.13.1</t>
  </si>
  <si>
    <t>Plant identification</t>
  </si>
  <si>
    <t>Photo identification</t>
  </si>
  <si>
    <t>Top matches with confidence, PT/EN and scientific names</t>
  </si>
  <si>
    <t>3.13.2</t>
  </si>
  <si>
    <t>Crop-or-weed verdict</t>
  </si>
  <si>
    <t>Especially for seedlings</t>
  </si>
  <si>
    <t>3.13.3</t>
  </si>
  <si>
    <t>Context for accuracy</t>
  </si>
  <si>
    <t>Uses location, season and what's planted in the bed</t>
  </si>
  <si>
    <t>3.13.4</t>
  </si>
  <si>
    <t>Several photos</t>
  </si>
  <si>
    <t>Leaf, flower, whole plant</t>
  </si>
  <si>
    <t>3.13.5</t>
  </si>
  <si>
    <t>Invasive and toxic flags</t>
  </si>
  <si>
    <t>Warnings only; never says a wild plant is safe to eat</t>
  </si>
  <si>
    <t>3.13.6</t>
  </si>
  <si>
    <t>One-tap actions</t>
  </si>
  <si>
    <t>Add as planting, mark as weed (removal task), keep tree</t>
  </si>
  <si>
    <t>3.13.7</t>
  </si>
  <si>
    <t>Corrections</t>
  </si>
  <si>
    <t>Fix wrong results; used as context and for testing</t>
  </si>
  <si>
    <t>3.13.8</t>
  </si>
  <si>
    <t>Specialist ID service</t>
  </si>
  <si>
    <t>Second opinion from a plant-ID service</t>
  </si>
  <si>
    <t>3.14.1</t>
  </si>
  <si>
    <t>Pest and disease diagnosis</t>
  </si>
  <si>
    <t>Photo diagnosis</t>
  </si>
  <si>
    <t>Pests, diseases, nutrient problems and environmental stress</t>
  </si>
  <si>
    <t>3.14.2</t>
  </si>
  <si>
    <t>Follow-up questions</t>
  </si>
  <si>
    <t>AI asks questions when unsure</t>
  </si>
  <si>
    <t>3.14.3</t>
  </si>
  <si>
    <t>Treatment plans</t>
  </si>
  <si>
    <t>Organic first; chemicals last, never by product name</t>
  </si>
  <si>
    <t>3.14.4</t>
  </si>
  <si>
    <t>Treatment tasks and check-ups</t>
  </si>
  <si>
    <t>Re-photograph later, before-and-after comparison</t>
  </si>
  <si>
    <t>3.14.5</t>
  </si>
  <si>
    <t>Spread warnings and bed flags</t>
  </si>
  <si>
    <t>Warn other beds; flag soil-borne diseases for rotation</t>
  </si>
  <si>
    <t>3.14.6</t>
  </si>
  <si>
    <t>Disease-risk warnings</t>
  </si>
  <si>
    <t>Weather-based risk, e.g. mildew</t>
  </si>
  <si>
    <t>3.14.7</t>
  </si>
  <si>
    <t>Seasonal scouting tasks</t>
  </si>
  <si>
    <t>"Check under the cabbage leaves this week"</t>
  </si>
  <si>
    <t>3.14.8</t>
  </si>
  <si>
    <t>Beneficial insects</t>
  </si>
  <si>
    <t>Recognise helpful insects so you don't kill them</t>
  </si>
  <si>
    <t>3.15.1</t>
  </si>
  <si>
    <t>Harvest readiness</t>
  </si>
  <si>
    <t>Photo verdict</t>
  </si>
  <si>
    <t>Not yet, soon, ready, past its best</t>
  </si>
  <si>
    <t>3.15.2</t>
  </si>
  <si>
    <t>Advance notice</t>
  </si>
  <si>
    <t>Harvest window approaching</t>
  </si>
  <si>
    <t>3.15.3</t>
  </si>
  <si>
    <t>Signs checklists</t>
  </si>
  <si>
    <t>Per crop, incl. "dig one up" for root crops</t>
  </si>
  <si>
    <t>3.15.4</t>
  </si>
  <si>
    <t>How to harvest</t>
  </si>
  <si>
    <t>Technique, time of day, keep plants producing</t>
  </si>
  <si>
    <t>3.15.5</t>
  </si>
  <si>
    <t>Weather-aware harvest timing</t>
  </si>
  <si>
    <t>e.g. pick before heavy rain</t>
  </si>
  <si>
    <t>3.15.6</t>
  </si>
  <si>
    <t>One-tap harvest logging</t>
  </si>
  <si>
    <t>Ready → harvested → quantity</t>
  </si>
  <si>
    <t>3.15.7</t>
  </si>
  <si>
    <t>Glut warning</t>
  </si>
  <si>
    <t>Peaks coming, ideas to preserve or give away</t>
  </si>
  <si>
    <t>3.15.8</t>
  </si>
  <si>
    <t>Storage and preserving guides</t>
  </si>
  <si>
    <t>How to store and preserve each crop</t>
  </si>
  <si>
    <t>3.15.9</t>
  </si>
  <si>
    <t>Seed saving</t>
  </si>
  <si>
    <t>Save seeds from your crops</t>
  </si>
  <si>
    <t>3.16.1</t>
  </si>
  <si>
    <t>Season planner</t>
  </si>
  <si>
    <t>Crops into beds</t>
  </si>
  <si>
    <t>Which crop in which bed, when, how many</t>
  </si>
  <si>
    <t>3.16.2</t>
  </si>
  <si>
    <t>Layout inside each bed</t>
  </si>
  <si>
    <t>Rows or grid with spacing</t>
  </si>
  <si>
    <t>3.16.3</t>
  </si>
  <si>
    <t>Year view per bed</t>
  </si>
  <si>
    <t>Gantt-style timeline, empty periods highlighted</t>
  </si>
  <si>
    <t>3.16.4</t>
  </si>
  <si>
    <t>Follow-on crops</t>
  </si>
  <si>
    <t>Next crop after a harvest in the same bed</t>
  </si>
  <si>
    <t>3.16.5</t>
  </si>
  <si>
    <t>Cover crops</t>
  </si>
  <si>
    <t>Green cover for empty beds</t>
  </si>
  <si>
    <t>3.16.6</t>
  </si>
  <si>
    <t>Crop rotation</t>
  </si>
  <si>
    <t>4-group rotation with warnings</t>
  </si>
  <si>
    <t>3.16.7</t>
  </si>
  <si>
    <t>Companion planting</t>
  </si>
  <si>
    <t>Pairings labelled by evidence level</t>
  </si>
  <si>
    <t>3.16.8</t>
  </si>
  <si>
    <t>Space check</t>
  </si>
  <si>
    <t>Warns when crops don't fit; must-haves first</t>
  </si>
  <si>
    <t>3.16.9</t>
  </si>
  <si>
    <t>Perennials</t>
  </si>
  <si>
    <t>Asparagus, strawberries, herbs, fruit trees stay put</t>
  </si>
  <si>
    <t>3.16.10</t>
  </si>
  <si>
    <t>Drag-and-drop editing</t>
  </si>
  <si>
    <t>Edit with live checks</t>
  </si>
  <si>
    <t>3.16.11</t>
  </si>
  <si>
    <t>Draft and active plans</t>
  </si>
  <si>
    <t>Plan next season while this one runs</t>
  </si>
  <si>
    <t>3.16.12</t>
  </si>
  <si>
    <t>Learning from last year</t>
  </si>
  <si>
    <t>Adjust from harvest log and notes</t>
  </si>
  <si>
    <t>3.16.13</t>
  </si>
  <si>
    <t>AI goals</t>
  </si>
  <si>
    <t>Optimise for most harvest, least work or least water</t>
  </si>
  <si>
    <t>3.17.1</t>
  </si>
  <si>
    <t>AI assistant</t>
  </si>
  <si>
    <t>Chat with garden context</t>
  </si>
  <si>
    <t>Answers about your garden, citing sources, in PT/EN</t>
  </si>
  <si>
    <t>3.17.2</t>
  </si>
  <si>
    <t>"Ask about this"</t>
  </si>
  <si>
    <t>Ask from any bed, plant, task, guide step or alert</t>
  </si>
  <si>
    <t>3.17.3</t>
  </si>
  <si>
    <t>Voice and photo input</t>
  </si>
  <si>
    <t>Speak or send photos in the chat</t>
  </si>
  <si>
    <t>3.17.4</t>
  </si>
  <si>
    <t>Hands-free voice mode</t>
  </si>
  <si>
    <t>Spoken answers in the field</t>
  </si>
  <si>
    <t>3.17.5</t>
  </si>
  <si>
    <t>Proposed actions</t>
  </si>
  <si>
    <t>Creates proposals you confirm; logged and undoable</t>
  </si>
  <si>
    <t>3.17.6</t>
  </si>
  <si>
    <t>Garden memory notes</t>
  </si>
  <si>
    <t>Facts it learns, visible and editable</t>
  </si>
  <si>
    <t>3.17.7</t>
  </si>
  <si>
    <t>Queued offline questions</t>
  </si>
  <si>
    <t>Answered when back online</t>
  </si>
  <si>
    <t>3.17.8</t>
  </si>
  <si>
    <t>History and search</t>
  </si>
  <si>
    <t>Past conversations</t>
  </si>
  <si>
    <t>3.17.9</t>
  </si>
  <si>
    <t>Answer feedback</t>
  </si>
  <si>
    <t>Thumbs up or down</t>
  </si>
  <si>
    <t>3.18.1</t>
  </si>
  <si>
    <t>Improvement suggestions</t>
  </si>
  <si>
    <t>Garden report</t>
  </si>
  <si>
    <t>Weekly stats: done, harvested, weather, photos, next week</t>
  </si>
  <si>
    <t>3.18.2</t>
  </si>
  <si>
    <t>AI suggestions with evidence</t>
  </si>
  <si>
    <t>Reason, evidence, impact and effort</t>
  </si>
  <si>
    <t>3.18.3</t>
  </si>
  <si>
    <t>Accept, dismiss, snooze</t>
  </si>
  <si>
    <t>Accept becomes a proposal; dismissals aren't repeated</t>
  </si>
  <si>
    <t>3.18.4</t>
  </si>
  <si>
    <t>Patterns over time</t>
  </si>
  <si>
    <t>Insights across weeks and seasons</t>
  </si>
  <si>
    <t>3.18.5</t>
  </si>
  <si>
    <t>End-of-season review</t>
  </si>
  <si>
    <t>Retrospective feeding next season's plan</t>
  </si>
  <si>
    <t>3.18.6</t>
  </si>
  <si>
    <t>Configurable frequency</t>
  </si>
  <si>
    <t>Weekly, fortnightly or monthly</t>
  </si>
  <si>
    <t>3.19.1</t>
  </si>
  <si>
    <t>App-wide</t>
  </si>
  <si>
    <t>"Today" home screen</t>
  </si>
  <si>
    <t>Next actions, tasks, alerts, forecast, proposals</t>
  </si>
  <si>
    <t>3.19.2</t>
  </si>
  <si>
    <t>First-run setup</t>
  </si>
  <si>
    <t>Guided flow from location to crops</t>
  </si>
  <si>
    <t>3.19.3</t>
  </si>
  <si>
    <t>Settings</t>
  </si>
  <si>
    <t>Language, units, notifications, preferences</t>
  </si>
  <si>
    <t>3.19.4</t>
  </si>
  <si>
    <t>AI usage meter</t>
  </si>
  <si>
    <t>See how much AI you've used</t>
  </si>
  <si>
    <t>3.19.5</t>
  </si>
  <si>
    <t>Photo and location privacy</t>
  </si>
  <si>
    <t>Strip GPS from photos; keep plot location private</t>
  </si>
  <si>
    <t>3.19.6</t>
  </si>
  <si>
    <t>Crash reporting and usage stats</t>
  </si>
  <si>
    <t>See problems and anonymous usage</t>
  </si>
  <si>
    <t>3.19.7</t>
  </si>
  <si>
    <t>Accessibility</t>
  </si>
  <si>
    <t>Larger text, VoiceOver, colour-blind-friendly colours</t>
  </si>
  <si>
    <t>3.19.8</t>
  </si>
  <si>
    <t>Home screen widgets</t>
  </si>
  <si>
    <t>Today's tasks and alerts</t>
  </si>
  <si>
    <t>3.19.9</t>
  </si>
  <si>
    <t>Apple Watch</t>
  </si>
  <si>
    <t>Quick logging from the watch</t>
  </si>
  <si>
    <t>3.19.10</t>
  </si>
  <si>
    <t>Siri shortcuts</t>
  </si>
  <si>
    <t>e.g. "log watering zone A"</t>
  </si>
  <si>
    <t>7.1</t>
  </si>
  <si>
    <t>Commercial readiness</t>
  </si>
  <si>
    <t>Freemium subscriptions</t>
  </si>
  <si>
    <t>App Store and Play subscriptions, tier limits</t>
  </si>
  <si>
    <t>Only when going commercial</t>
  </si>
  <si>
    <t>7.2</t>
  </si>
  <si>
    <t>Commercial data licences</t>
  </si>
  <si>
    <t>Weather and other data sources for commercial use</t>
  </si>
  <si>
    <t>7.3</t>
  </si>
  <si>
    <t>Expert review of guides</t>
  </si>
  <si>
    <t>Agronomist reviews all content</t>
  </si>
  <si>
    <t>7.4</t>
  </si>
  <si>
    <t>Commissioned illustrator</t>
  </si>
  <si>
    <t>Professional illustrations</t>
  </si>
  <si>
    <t>7.5</t>
  </si>
  <si>
    <t>Privacy policy, GDPR, store listings</t>
  </si>
  <si>
    <t>Legal and store preparation</t>
  </si>
  <si>
    <t>Not decided</t>
  </si>
  <si>
    <t>Total</t>
  </si>
</sst>
</file>

<file path=xl/styles.xml><?xml version="1.0" encoding="utf-8"?>
<styleSheet xmlns="http://schemas.openxmlformats.org/spreadsheetml/2006/main">
  <numFmts count="1">
    <numFmt numFmtId="0" formatCode="General"/>
  </numFmts>
  <fonts count="7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sz val="14"/>
      <color indexed="8"/>
      <name val="Arial"/>
    </font>
    <font>
      <sz val="11"/>
      <color indexed="8"/>
      <name val="Arial"/>
    </font>
    <font>
      <sz val="11"/>
      <color indexed="9"/>
      <name val="Arial"/>
    </font>
    <font>
      <sz val="11"/>
      <color indexed="8"/>
      <name val="Helvetica Neue"/>
    </font>
  </fonts>
  <fills count="6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</fills>
  <borders count="3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18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2" borderId="1" applyNumberFormat="1" applyFont="1" applyFill="1" applyBorder="1" applyAlignment="1" applyProtection="0">
      <alignment vertical="top" wrapText="1"/>
    </xf>
    <xf numFmtId="0" fontId="0" borderId="1" applyNumberFormat="0" applyFont="1" applyFill="0" applyBorder="1" applyAlignment="1" applyProtection="0">
      <alignment vertical="bottom"/>
    </xf>
    <xf numFmtId="1" fontId="4" fillId="2" borderId="1" applyNumberFormat="1" applyFont="1" applyFill="1" applyBorder="1" applyAlignment="1" applyProtection="0">
      <alignment vertical="top" wrapText="1"/>
    </xf>
    <xf numFmtId="49" fontId="4" fillId="2" borderId="1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bottom"/>
    </xf>
    <xf numFmtId="49" fontId="5" fillId="3" borderId="2" applyNumberFormat="1" applyFont="1" applyFill="1" applyBorder="1" applyAlignment="1" applyProtection="0">
      <alignment vertical="center" wrapText="1"/>
    </xf>
    <xf numFmtId="49" fontId="4" fillId="2" borderId="2" applyNumberFormat="1" applyFont="1" applyFill="1" applyBorder="1" applyAlignment="1" applyProtection="0">
      <alignment vertical="top" wrapText="1"/>
    </xf>
    <xf numFmtId="49" fontId="4" fillId="4" borderId="2" applyNumberFormat="1" applyFont="1" applyFill="1" applyBorder="1" applyAlignment="1" applyProtection="0">
      <alignment vertical="top" wrapText="1"/>
    </xf>
    <xf numFmtId="49" fontId="4" fillId="5" borderId="2" applyNumberFormat="1" applyFont="1" applyFill="1" applyBorder="1" applyAlignment="1" applyProtection="0">
      <alignment vertical="top" wrapText="1"/>
    </xf>
    <xf numFmtId="1" fontId="4" fillId="5" borderId="2" applyNumberFormat="1" applyFont="1" applyFill="1" applyBorder="1" applyAlignment="1" applyProtection="0">
      <alignment vertical="top" wrapText="1"/>
    </xf>
    <xf numFmtId="1" fontId="4" fillId="2" borderId="2" applyNumberFormat="1" applyFont="1" applyFill="1" applyBorder="1" applyAlignment="1" applyProtection="0">
      <alignment vertical="top" wrapText="1"/>
    </xf>
    <xf numFmtId="0" fontId="4" fillId="5" borderId="2" applyNumberFormat="0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bottom"/>
    </xf>
    <xf numFmtId="49" fontId="5" fillId="3" borderId="2" applyNumberFormat="1" applyFont="1" applyFill="1" applyBorder="1" applyAlignment="1" applyProtection="0">
      <alignment vertical="bottom"/>
    </xf>
    <xf numFmtId="49" fontId="4" fillId="2" borderId="2" applyNumberFormat="1" applyFont="1" applyFill="1" applyBorder="1" applyAlignment="1" applyProtection="0">
      <alignment vertical="bottom"/>
    </xf>
    <xf numFmtId="1" fontId="4" fillId="2" borderId="2" applyNumberFormat="1" applyFont="1" applyFill="1" applyBorder="1" applyAlignment="1" applyProtection="0">
      <alignment vertical="bottom"/>
    </xf>
  </cellXfs>
  <cellStyles count="1">
    <cellStyle name="Normal" xfId="0" builtinId="0"/>
  </cellStyles>
  <dxfs count="3">
    <dxf>
      <fill>
        <patternFill patternType="solid">
          <fgColor indexed="15"/>
          <bgColor indexed="16"/>
        </patternFill>
      </fill>
    </dxf>
    <dxf>
      <fill>
        <patternFill patternType="solid">
          <fgColor indexed="15"/>
          <bgColor indexed="17"/>
        </patternFill>
      </fill>
    </dxf>
    <dxf>
      <fill>
        <patternFill patternType="solid">
          <fgColor indexed="15"/>
          <bgColor indexed="18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2e5e3e"/>
      <rgbColor rgb="ffbfbfbf"/>
      <rgbColor rgb="ffe3efe5"/>
      <rgbColor rgb="fffff5cc"/>
      <rgbColor rgb="00000000"/>
      <rgbColor rgb="ffc6efce"/>
      <rgbColor rgb="ffddebf7"/>
      <rgbColor rgb="ffedede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
</file>

<file path=xl/drawings/drawing1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A1:E14"/>
  <sheetViews>
    <sheetView workbookViewId="0" showGridLines="0" defaultGridColor="1"/>
  </sheetViews>
  <sheetFormatPr defaultColWidth="8.66667" defaultRowHeight="15" customHeight="1" outlineLevelRow="0" outlineLevelCol="0"/>
  <cols>
    <col min="1" max="1" width="95" style="1" customWidth="1"/>
    <col min="2" max="5" width="8.67188" style="1" customWidth="1"/>
    <col min="6" max="16384" width="8.67188" style="1" customWidth="1"/>
  </cols>
  <sheetData>
    <row r="1" ht="18.5" customHeight="1">
      <c r="A1" t="s" s="2">
        <v>0</v>
      </c>
      <c r="B1" s="3"/>
      <c r="C1" s="3"/>
      <c r="D1" s="3"/>
      <c r="E1" s="3"/>
    </row>
    <row r="2" ht="14.6" customHeight="1">
      <c r="A2" s="4"/>
      <c r="B2" s="3"/>
      <c r="C2" s="3"/>
      <c r="D2" s="3"/>
      <c r="E2" s="3"/>
    </row>
    <row r="3" ht="14.6" customHeight="1">
      <c r="A3" t="s" s="5">
        <v>1</v>
      </c>
      <c r="B3" s="3"/>
      <c r="C3" s="3"/>
      <c r="D3" s="3"/>
      <c r="E3" s="3"/>
    </row>
    <row r="4" ht="14.6" customHeight="1">
      <c r="A4" t="s" s="5">
        <v>2</v>
      </c>
      <c r="B4" s="3"/>
      <c r="C4" s="3"/>
      <c r="D4" s="3"/>
      <c r="E4" s="3"/>
    </row>
    <row r="5" ht="14.6" customHeight="1">
      <c r="A5" t="s" s="5">
        <v>3</v>
      </c>
      <c r="B5" s="3"/>
      <c r="C5" s="3"/>
      <c r="D5" s="3"/>
      <c r="E5" s="3"/>
    </row>
    <row r="6" ht="14.6" customHeight="1">
      <c r="A6" t="s" s="5">
        <v>4</v>
      </c>
      <c r="B6" s="3"/>
      <c r="C6" s="3"/>
      <c r="D6" s="3"/>
      <c r="E6" s="3"/>
    </row>
    <row r="7" ht="14.6" customHeight="1">
      <c r="A7" t="s" s="5">
        <v>5</v>
      </c>
      <c r="B7" s="3"/>
      <c r="C7" s="3"/>
      <c r="D7" s="3"/>
      <c r="E7" s="3"/>
    </row>
    <row r="8" ht="14.6" customHeight="1">
      <c r="A8" t="s" s="5">
        <v>6</v>
      </c>
      <c r="B8" s="3"/>
      <c r="C8" s="3"/>
      <c r="D8" s="3"/>
      <c r="E8" s="3"/>
    </row>
    <row r="9" ht="14.6" customHeight="1">
      <c r="A9" t="s" s="5">
        <v>7</v>
      </c>
      <c r="B9" s="3"/>
      <c r="C9" s="3"/>
      <c r="D9" s="3"/>
      <c r="E9" s="3"/>
    </row>
    <row r="10" ht="14.6" customHeight="1">
      <c r="A10" t="s" s="5">
        <v>8</v>
      </c>
      <c r="B10" s="3"/>
      <c r="C10" s="3"/>
      <c r="D10" s="3"/>
      <c r="E10" s="3"/>
    </row>
    <row r="11" ht="26.6" customHeight="1">
      <c r="A11" t="s" s="5">
        <v>9</v>
      </c>
      <c r="B11" s="3"/>
      <c r="C11" s="3"/>
      <c r="D11" s="3"/>
      <c r="E11" s="3"/>
    </row>
    <row r="12" ht="14.6" customHeight="1">
      <c r="A12" t="s" s="5">
        <v>10</v>
      </c>
      <c r="B12" s="3"/>
      <c r="C12" s="3"/>
      <c r="D12" s="3"/>
      <c r="E12" s="3"/>
    </row>
    <row r="13" ht="14.6" customHeight="1">
      <c r="A13" s="4"/>
      <c r="B13" s="3"/>
      <c r="C13" s="3"/>
      <c r="D13" s="3"/>
      <c r="E13" s="3"/>
    </row>
    <row r="14" ht="14.6" customHeight="1">
      <c r="A14" t="s" s="5">
        <v>11</v>
      </c>
      <c r="B14" s="3"/>
      <c r="C14" s="3"/>
      <c r="D14" s="3"/>
      <c r="E14" s="3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H186"/>
  <sheetViews>
    <sheetView workbookViewId="0" showGridLines="0" defaultGridColor="1"/>
  </sheetViews>
  <sheetFormatPr defaultColWidth="8.66667" defaultRowHeight="15" customHeight="1" outlineLevelRow="0" outlineLevelCol="0"/>
  <cols>
    <col min="1" max="1" width="7" style="6" customWidth="1"/>
    <col min="2" max="2" width="20" style="6" customWidth="1"/>
    <col min="3" max="3" width="28" style="6" customWidth="1"/>
    <col min="4" max="4" width="48" style="6" customWidth="1"/>
    <col min="5" max="6" width="18" style="6" customWidth="1"/>
    <col min="7" max="7" width="30" style="6" customWidth="1"/>
    <col min="8" max="8" width="26" style="6" customWidth="1"/>
    <col min="9" max="16384" width="8.67188" style="6" customWidth="1"/>
  </cols>
  <sheetData>
    <row r="1" ht="14.6" customHeight="1">
      <c r="A1" t="s" s="7">
        <v>12</v>
      </c>
      <c r="B1" t="s" s="7">
        <v>13</v>
      </c>
      <c r="C1" t="s" s="7">
        <v>14</v>
      </c>
      <c r="D1" t="s" s="7">
        <v>15</v>
      </c>
      <c r="E1" t="s" s="7">
        <v>16</v>
      </c>
      <c r="F1" t="s" s="7">
        <v>17</v>
      </c>
      <c r="G1" t="s" s="7">
        <v>18</v>
      </c>
      <c r="H1" t="s" s="7">
        <v>19</v>
      </c>
    </row>
    <row r="2" ht="26.6" customHeight="1">
      <c r="A2" t="s" s="8">
        <v>20</v>
      </c>
      <c r="B2" t="s" s="9">
        <v>21</v>
      </c>
      <c r="C2" t="s" s="8">
        <v>22</v>
      </c>
      <c r="D2" t="s" s="8">
        <v>23</v>
      </c>
      <c r="E2" t="s" s="10">
        <v>24</v>
      </c>
      <c r="F2" t="s" s="8">
        <v>24</v>
      </c>
      <c r="G2" s="11"/>
      <c r="H2" t="s" s="8">
        <v>25</v>
      </c>
    </row>
    <row r="3" ht="14.6" customHeight="1">
      <c r="A3" t="s" s="8">
        <v>26</v>
      </c>
      <c r="B3" t="s" s="9">
        <v>21</v>
      </c>
      <c r="C3" t="s" s="8">
        <v>27</v>
      </c>
      <c r="D3" t="s" s="8">
        <v>28</v>
      </c>
      <c r="E3" t="s" s="10">
        <v>24</v>
      </c>
      <c r="F3" t="s" s="8">
        <v>24</v>
      </c>
      <c r="G3" s="11"/>
      <c r="H3" t="s" s="8">
        <v>29</v>
      </c>
    </row>
    <row r="4" ht="14.6" customHeight="1">
      <c r="A4" t="s" s="8">
        <v>30</v>
      </c>
      <c r="B4" t="s" s="9">
        <v>21</v>
      </c>
      <c r="C4" t="s" s="8">
        <v>31</v>
      </c>
      <c r="D4" t="s" s="8">
        <v>32</v>
      </c>
      <c r="E4" t="s" s="10">
        <v>33</v>
      </c>
      <c r="F4" t="s" s="8">
        <v>24</v>
      </c>
      <c r="G4" s="11"/>
      <c r="H4" t="s" s="8">
        <v>34</v>
      </c>
    </row>
    <row r="5" ht="26.6" customHeight="1">
      <c r="A5" t="s" s="8">
        <v>35</v>
      </c>
      <c r="B5" t="s" s="9">
        <v>21</v>
      </c>
      <c r="C5" t="s" s="8">
        <v>36</v>
      </c>
      <c r="D5" t="s" s="8">
        <v>37</v>
      </c>
      <c r="E5" t="s" s="10">
        <v>24</v>
      </c>
      <c r="F5" t="s" s="8">
        <v>24</v>
      </c>
      <c r="G5" s="11"/>
      <c r="H5" t="s" s="8">
        <v>38</v>
      </c>
    </row>
    <row r="6" ht="26.6" customHeight="1">
      <c r="A6" t="s" s="8">
        <v>39</v>
      </c>
      <c r="B6" t="s" s="9">
        <v>21</v>
      </c>
      <c r="C6" t="s" s="8">
        <v>40</v>
      </c>
      <c r="D6" t="s" s="8">
        <v>41</v>
      </c>
      <c r="E6" t="s" s="10">
        <v>24</v>
      </c>
      <c r="F6" t="s" s="8">
        <v>24</v>
      </c>
      <c r="G6" s="11"/>
      <c r="H6" t="s" s="8">
        <v>42</v>
      </c>
    </row>
    <row r="7" ht="14.6" customHeight="1">
      <c r="A7" t="s" s="8">
        <v>43</v>
      </c>
      <c r="B7" t="s" s="9">
        <v>21</v>
      </c>
      <c r="C7" t="s" s="8">
        <v>44</v>
      </c>
      <c r="D7" t="s" s="8">
        <v>45</v>
      </c>
      <c r="E7" t="s" s="10">
        <v>24</v>
      </c>
      <c r="F7" t="s" s="8">
        <v>24</v>
      </c>
      <c r="G7" s="11"/>
      <c r="H7" t="s" s="8">
        <v>46</v>
      </c>
    </row>
    <row r="8" ht="14.6" customHeight="1">
      <c r="A8" t="s" s="8">
        <v>47</v>
      </c>
      <c r="B8" t="s" s="9">
        <v>21</v>
      </c>
      <c r="C8" t="s" s="8">
        <v>48</v>
      </c>
      <c r="D8" t="s" s="8">
        <v>49</v>
      </c>
      <c r="E8" t="s" s="10">
        <v>33</v>
      </c>
      <c r="F8" t="s" s="8">
        <v>33</v>
      </c>
      <c r="G8" s="11"/>
      <c r="H8" t="s" s="8">
        <v>50</v>
      </c>
    </row>
    <row r="9" ht="26.6" customHeight="1">
      <c r="A9" t="s" s="8">
        <v>51</v>
      </c>
      <c r="B9" t="s" s="9">
        <v>52</v>
      </c>
      <c r="C9" t="s" s="8">
        <v>53</v>
      </c>
      <c r="D9" t="s" s="8">
        <v>54</v>
      </c>
      <c r="E9" t="s" s="10">
        <v>24</v>
      </c>
      <c r="F9" t="s" s="8">
        <v>24</v>
      </c>
      <c r="G9" s="11"/>
      <c r="H9" s="12"/>
    </row>
    <row r="10" ht="14.6" customHeight="1">
      <c r="A10" t="s" s="8">
        <v>55</v>
      </c>
      <c r="B10" t="s" s="9">
        <v>52</v>
      </c>
      <c r="C10" t="s" s="8">
        <v>56</v>
      </c>
      <c r="D10" t="s" s="8">
        <v>57</v>
      </c>
      <c r="E10" t="s" s="10">
        <v>58</v>
      </c>
      <c r="F10" t="s" s="8">
        <v>33</v>
      </c>
      <c r="G10" s="11"/>
      <c r="H10" s="12"/>
    </row>
    <row r="11" ht="14.6" customHeight="1">
      <c r="A11" t="s" s="8">
        <v>59</v>
      </c>
      <c r="B11" t="s" s="9">
        <v>52</v>
      </c>
      <c r="C11" t="s" s="8">
        <v>60</v>
      </c>
      <c r="D11" t="s" s="8">
        <v>61</v>
      </c>
      <c r="E11" t="s" s="10">
        <v>24</v>
      </c>
      <c r="F11" t="s" s="8">
        <v>24</v>
      </c>
      <c r="G11" s="11"/>
      <c r="H11" s="12"/>
    </row>
    <row r="12" ht="26.6" customHeight="1">
      <c r="A12" t="s" s="8">
        <v>62</v>
      </c>
      <c r="B12" t="s" s="9">
        <v>52</v>
      </c>
      <c r="C12" t="s" s="8">
        <v>63</v>
      </c>
      <c r="D12" t="s" s="8">
        <v>64</v>
      </c>
      <c r="E12" t="s" s="10">
        <v>24</v>
      </c>
      <c r="F12" t="s" s="8">
        <v>24</v>
      </c>
      <c r="G12" s="11"/>
      <c r="H12" s="12"/>
    </row>
    <row r="13" ht="26.6" customHeight="1">
      <c r="A13" t="s" s="8">
        <v>65</v>
      </c>
      <c r="B13" t="s" s="9">
        <v>52</v>
      </c>
      <c r="C13" t="s" s="8">
        <v>66</v>
      </c>
      <c r="D13" t="s" s="8">
        <v>67</v>
      </c>
      <c r="E13" t="s" s="10">
        <v>24</v>
      </c>
      <c r="F13" t="s" s="8">
        <v>24</v>
      </c>
      <c r="G13" s="11"/>
      <c r="H13" s="12"/>
    </row>
    <row r="14" ht="14.6" customHeight="1">
      <c r="A14" t="s" s="8">
        <v>68</v>
      </c>
      <c r="B14" t="s" s="9">
        <v>52</v>
      </c>
      <c r="C14" t="s" s="8">
        <v>69</v>
      </c>
      <c r="D14" t="s" s="8">
        <v>70</v>
      </c>
      <c r="E14" t="s" s="10">
        <v>33</v>
      </c>
      <c r="F14" t="s" s="8">
        <v>33</v>
      </c>
      <c r="G14" s="11"/>
      <c r="H14" s="12"/>
    </row>
    <row r="15" ht="26.6" customHeight="1">
      <c r="A15" t="s" s="8">
        <v>71</v>
      </c>
      <c r="B15" t="s" s="9">
        <v>52</v>
      </c>
      <c r="C15" t="s" s="8">
        <v>72</v>
      </c>
      <c r="D15" t="s" s="8">
        <v>73</v>
      </c>
      <c r="E15" t="s" s="10">
        <v>24</v>
      </c>
      <c r="F15" t="s" s="8">
        <v>24</v>
      </c>
      <c r="G15" s="11"/>
      <c r="H15" s="12"/>
    </row>
    <row r="16" ht="26.6" customHeight="1">
      <c r="A16" t="s" s="8">
        <v>74</v>
      </c>
      <c r="B16" t="s" s="9">
        <v>52</v>
      </c>
      <c r="C16" t="s" s="8">
        <v>75</v>
      </c>
      <c r="D16" t="s" s="8">
        <v>76</v>
      </c>
      <c r="E16" t="s" s="10">
        <v>58</v>
      </c>
      <c r="F16" t="s" s="8">
        <v>58</v>
      </c>
      <c r="G16" s="11"/>
      <c r="H16" s="12"/>
    </row>
    <row r="17" ht="14.6" customHeight="1">
      <c r="A17" t="s" s="8">
        <v>77</v>
      </c>
      <c r="B17" t="s" s="9">
        <v>78</v>
      </c>
      <c r="C17" t="s" s="8">
        <v>79</v>
      </c>
      <c r="D17" t="s" s="8">
        <v>80</v>
      </c>
      <c r="E17" t="s" s="10">
        <v>24</v>
      </c>
      <c r="F17" t="s" s="8">
        <v>24</v>
      </c>
      <c r="G17" s="11"/>
      <c r="H17" s="12"/>
    </row>
    <row r="18" ht="14.6" customHeight="1">
      <c r="A18" t="s" s="8">
        <v>81</v>
      </c>
      <c r="B18" t="s" s="9">
        <v>78</v>
      </c>
      <c r="C18" t="s" s="8">
        <v>82</v>
      </c>
      <c r="D18" t="s" s="8">
        <v>83</v>
      </c>
      <c r="E18" t="s" s="10">
        <v>58</v>
      </c>
      <c r="F18" t="s" s="8">
        <v>33</v>
      </c>
      <c r="G18" s="11"/>
      <c r="H18" s="12"/>
    </row>
    <row r="19" ht="14.6" customHeight="1">
      <c r="A19" t="s" s="8">
        <v>84</v>
      </c>
      <c r="B19" t="s" s="9">
        <v>78</v>
      </c>
      <c r="C19" t="s" s="8">
        <v>85</v>
      </c>
      <c r="D19" t="s" s="8">
        <v>86</v>
      </c>
      <c r="E19" t="s" s="10">
        <v>24</v>
      </c>
      <c r="F19" t="s" s="8">
        <v>24</v>
      </c>
      <c r="G19" s="11"/>
      <c r="H19" s="12"/>
    </row>
    <row r="20" ht="14.6" customHeight="1">
      <c r="A20" t="s" s="8">
        <v>87</v>
      </c>
      <c r="B20" t="s" s="9">
        <v>78</v>
      </c>
      <c r="C20" t="s" s="8">
        <v>88</v>
      </c>
      <c r="D20" t="s" s="8">
        <v>89</v>
      </c>
      <c r="E20" t="s" s="10">
        <v>24</v>
      </c>
      <c r="F20" t="s" s="8">
        <v>24</v>
      </c>
      <c r="G20" s="11"/>
      <c r="H20" t="s" s="8">
        <v>90</v>
      </c>
    </row>
    <row r="21" ht="14.6" customHeight="1">
      <c r="A21" t="s" s="8">
        <v>91</v>
      </c>
      <c r="B21" t="s" s="9">
        <v>78</v>
      </c>
      <c r="C21" t="s" s="8">
        <v>92</v>
      </c>
      <c r="D21" t="s" s="8">
        <v>93</v>
      </c>
      <c r="E21" t="s" s="10">
        <v>33</v>
      </c>
      <c r="F21" t="s" s="8">
        <v>24</v>
      </c>
      <c r="G21" s="11"/>
      <c r="H21" s="12"/>
    </row>
    <row r="22" ht="14.6" customHeight="1">
      <c r="A22" t="s" s="8">
        <v>94</v>
      </c>
      <c r="B22" t="s" s="9">
        <v>78</v>
      </c>
      <c r="C22" t="s" s="8">
        <v>95</v>
      </c>
      <c r="D22" t="s" s="8">
        <v>96</v>
      </c>
      <c r="E22" t="s" s="10">
        <v>33</v>
      </c>
      <c r="F22" t="s" s="8">
        <v>33</v>
      </c>
      <c r="G22" s="11"/>
      <c r="H22" s="12"/>
    </row>
    <row r="23" ht="26.6" customHeight="1">
      <c r="A23" t="s" s="8">
        <v>97</v>
      </c>
      <c r="B23" t="s" s="9">
        <v>78</v>
      </c>
      <c r="C23" t="s" s="8">
        <v>98</v>
      </c>
      <c r="D23" t="s" s="8">
        <v>99</v>
      </c>
      <c r="E23" t="s" s="10">
        <v>58</v>
      </c>
      <c r="F23" t="s" s="8">
        <v>33</v>
      </c>
      <c r="G23" s="11"/>
      <c r="H23" s="12"/>
    </row>
    <row r="24" ht="14.6" customHeight="1">
      <c r="A24" t="s" s="8">
        <v>100</v>
      </c>
      <c r="B24" t="s" s="9">
        <v>78</v>
      </c>
      <c r="C24" t="s" s="8">
        <v>101</v>
      </c>
      <c r="D24" t="s" s="8">
        <v>102</v>
      </c>
      <c r="E24" t="s" s="10">
        <v>58</v>
      </c>
      <c r="F24" t="s" s="8">
        <v>58</v>
      </c>
      <c r="G24" s="11"/>
      <c r="H24" s="12"/>
    </row>
    <row r="25" ht="14.6" customHeight="1">
      <c r="A25" t="s" s="8">
        <v>103</v>
      </c>
      <c r="B25" t="s" s="9">
        <v>78</v>
      </c>
      <c r="C25" t="s" s="8">
        <v>104</v>
      </c>
      <c r="D25" t="s" s="8">
        <v>105</v>
      </c>
      <c r="E25" t="s" s="10">
        <v>24</v>
      </c>
      <c r="F25" t="s" s="8">
        <v>24</v>
      </c>
      <c r="G25" s="11"/>
      <c r="H25" s="12"/>
    </row>
    <row r="26" ht="14.6" customHeight="1">
      <c r="A26" t="s" s="8">
        <v>106</v>
      </c>
      <c r="B26" t="s" s="9">
        <v>78</v>
      </c>
      <c r="C26" t="s" s="8">
        <v>107</v>
      </c>
      <c r="D26" t="s" s="8">
        <v>108</v>
      </c>
      <c r="E26" t="s" s="10">
        <v>33</v>
      </c>
      <c r="F26" t="s" s="8">
        <v>33</v>
      </c>
      <c r="G26" s="11"/>
      <c r="H26" s="12"/>
    </row>
    <row r="27" ht="14.6" customHeight="1">
      <c r="A27" t="s" s="8">
        <v>109</v>
      </c>
      <c r="B27" t="s" s="9">
        <v>78</v>
      </c>
      <c r="C27" t="s" s="8">
        <v>110</v>
      </c>
      <c r="D27" t="s" s="8">
        <v>111</v>
      </c>
      <c r="E27" t="s" s="10">
        <v>33</v>
      </c>
      <c r="F27" t="s" s="8">
        <v>33</v>
      </c>
      <c r="G27" s="11"/>
      <c r="H27" t="s" s="8">
        <v>112</v>
      </c>
    </row>
    <row r="28" ht="14.6" customHeight="1">
      <c r="A28" t="s" s="8">
        <v>113</v>
      </c>
      <c r="B28" t="s" s="9">
        <v>78</v>
      </c>
      <c r="C28" t="s" s="8">
        <v>114</v>
      </c>
      <c r="D28" t="s" s="8">
        <v>115</v>
      </c>
      <c r="E28" t="s" s="10">
        <v>58</v>
      </c>
      <c r="F28" t="s" s="8">
        <v>58</v>
      </c>
      <c r="G28" s="11"/>
      <c r="H28" t="s" s="8">
        <v>116</v>
      </c>
    </row>
    <row r="29" ht="26.6" customHeight="1">
      <c r="A29" t="s" s="8">
        <v>117</v>
      </c>
      <c r="B29" t="s" s="9">
        <v>118</v>
      </c>
      <c r="C29" t="s" s="8">
        <v>119</v>
      </c>
      <c r="D29" t="s" s="8">
        <v>120</v>
      </c>
      <c r="E29" t="s" s="10">
        <v>24</v>
      </c>
      <c r="F29" t="s" s="8">
        <v>24</v>
      </c>
      <c r="G29" s="11"/>
      <c r="H29" s="12"/>
    </row>
    <row r="30" ht="14.6" customHeight="1">
      <c r="A30" t="s" s="8">
        <v>121</v>
      </c>
      <c r="B30" t="s" s="9">
        <v>118</v>
      </c>
      <c r="C30" t="s" s="8">
        <v>122</v>
      </c>
      <c r="D30" t="s" s="8">
        <v>123</v>
      </c>
      <c r="E30" t="s" s="10">
        <v>33</v>
      </c>
      <c r="F30" t="s" s="8">
        <v>33</v>
      </c>
      <c r="G30" s="11"/>
      <c r="H30" s="12"/>
    </row>
    <row r="31" ht="14.6" customHeight="1">
      <c r="A31" t="s" s="8">
        <v>124</v>
      </c>
      <c r="B31" t="s" s="9">
        <v>118</v>
      </c>
      <c r="C31" t="s" s="8">
        <v>125</v>
      </c>
      <c r="D31" t="s" s="8">
        <v>126</v>
      </c>
      <c r="E31" t="s" s="10">
        <v>33</v>
      </c>
      <c r="F31" t="s" s="8">
        <v>33</v>
      </c>
      <c r="G31" s="11"/>
      <c r="H31" s="12"/>
    </row>
    <row r="32" ht="14.6" customHeight="1">
      <c r="A32" t="s" s="8">
        <v>127</v>
      </c>
      <c r="B32" t="s" s="9">
        <v>118</v>
      </c>
      <c r="C32" t="s" s="8">
        <v>128</v>
      </c>
      <c r="D32" t="s" s="8">
        <v>129</v>
      </c>
      <c r="E32" t="s" s="10">
        <v>58</v>
      </c>
      <c r="F32" t="s" s="8">
        <v>58</v>
      </c>
      <c r="G32" s="11"/>
      <c r="H32" s="12"/>
    </row>
    <row r="33" ht="14.6" customHeight="1">
      <c r="A33" t="s" s="8">
        <v>130</v>
      </c>
      <c r="B33" t="s" s="9">
        <v>118</v>
      </c>
      <c r="C33" t="s" s="8">
        <v>131</v>
      </c>
      <c r="D33" t="s" s="8">
        <v>132</v>
      </c>
      <c r="E33" t="s" s="10">
        <v>33</v>
      </c>
      <c r="F33" t="s" s="8">
        <v>33</v>
      </c>
      <c r="G33" s="11"/>
      <c r="H33" s="12"/>
    </row>
    <row r="34" ht="14.6" customHeight="1">
      <c r="A34" t="s" s="8">
        <v>133</v>
      </c>
      <c r="B34" t="s" s="9">
        <v>118</v>
      </c>
      <c r="C34" t="s" s="8">
        <v>134</v>
      </c>
      <c r="D34" t="s" s="8">
        <v>135</v>
      </c>
      <c r="E34" t="s" s="10">
        <v>33</v>
      </c>
      <c r="F34" t="s" s="8">
        <v>33</v>
      </c>
      <c r="G34" s="11"/>
      <c r="H34" s="12"/>
    </row>
    <row r="35" ht="26.6" customHeight="1">
      <c r="A35" t="s" s="8">
        <v>136</v>
      </c>
      <c r="B35" t="s" s="9">
        <v>137</v>
      </c>
      <c r="C35" t="s" s="8">
        <v>138</v>
      </c>
      <c r="D35" t="s" s="8">
        <v>139</v>
      </c>
      <c r="E35" t="s" s="10">
        <v>24</v>
      </c>
      <c r="F35" t="s" s="8">
        <v>24</v>
      </c>
      <c r="G35" s="11"/>
      <c r="H35" s="12"/>
    </row>
    <row r="36" ht="14.6" customHeight="1">
      <c r="A36" t="s" s="8">
        <v>140</v>
      </c>
      <c r="B36" t="s" s="9">
        <v>137</v>
      </c>
      <c r="C36" t="s" s="8">
        <v>141</v>
      </c>
      <c r="D36" t="s" s="8">
        <v>142</v>
      </c>
      <c r="E36" t="s" s="10">
        <v>24</v>
      </c>
      <c r="F36" t="s" s="8">
        <v>24</v>
      </c>
      <c r="G36" s="11"/>
      <c r="H36" t="s" s="8">
        <v>143</v>
      </c>
    </row>
    <row r="37" ht="14.6" customHeight="1">
      <c r="A37" t="s" s="8">
        <v>144</v>
      </c>
      <c r="B37" t="s" s="9">
        <v>137</v>
      </c>
      <c r="C37" t="s" s="8">
        <v>145</v>
      </c>
      <c r="D37" t="s" s="8">
        <v>146</v>
      </c>
      <c r="E37" t="s" s="10">
        <v>24</v>
      </c>
      <c r="F37" t="s" s="8">
        <v>24</v>
      </c>
      <c r="G37" s="11"/>
      <c r="H37" s="12"/>
    </row>
    <row r="38" ht="14.6" customHeight="1">
      <c r="A38" t="s" s="8">
        <v>147</v>
      </c>
      <c r="B38" t="s" s="9">
        <v>137</v>
      </c>
      <c r="C38" t="s" s="8">
        <v>148</v>
      </c>
      <c r="D38" t="s" s="8">
        <v>149</v>
      </c>
      <c r="E38" t="s" s="10">
        <v>33</v>
      </c>
      <c r="F38" t="s" s="8">
        <v>33</v>
      </c>
      <c r="G38" s="11"/>
      <c r="H38" s="12"/>
    </row>
    <row r="39" ht="14.6" customHeight="1">
      <c r="A39" t="s" s="8">
        <v>150</v>
      </c>
      <c r="B39" t="s" s="9">
        <v>137</v>
      </c>
      <c r="C39" t="s" s="8">
        <v>151</v>
      </c>
      <c r="D39" t="s" s="8">
        <v>152</v>
      </c>
      <c r="E39" t="s" s="10">
        <v>33</v>
      </c>
      <c r="F39" t="s" s="8">
        <v>33</v>
      </c>
      <c r="G39" s="11"/>
      <c r="H39" s="12"/>
    </row>
    <row r="40" ht="14.6" customHeight="1">
      <c r="A40" t="s" s="8">
        <v>153</v>
      </c>
      <c r="B40" t="s" s="9">
        <v>137</v>
      </c>
      <c r="C40" t="s" s="8">
        <v>154</v>
      </c>
      <c r="D40" t="s" s="8">
        <v>155</v>
      </c>
      <c r="E40" t="s" s="10">
        <v>58</v>
      </c>
      <c r="F40" t="s" s="8">
        <v>33</v>
      </c>
      <c r="G40" s="11"/>
      <c r="H40" s="12"/>
    </row>
    <row r="41" ht="14.6" customHeight="1">
      <c r="A41" t="s" s="8">
        <v>156</v>
      </c>
      <c r="B41" t="s" s="9">
        <v>137</v>
      </c>
      <c r="C41" t="s" s="8">
        <v>157</v>
      </c>
      <c r="D41" t="s" s="8">
        <v>158</v>
      </c>
      <c r="E41" t="s" s="10">
        <v>24</v>
      </c>
      <c r="F41" t="s" s="8">
        <v>33</v>
      </c>
      <c r="G41" s="11"/>
      <c r="H41" s="12"/>
    </row>
    <row r="42" ht="14.6" customHeight="1">
      <c r="A42" t="s" s="8">
        <v>159</v>
      </c>
      <c r="B42" t="s" s="9">
        <v>137</v>
      </c>
      <c r="C42" t="s" s="8">
        <v>160</v>
      </c>
      <c r="D42" t="s" s="8">
        <v>161</v>
      </c>
      <c r="E42" t="s" s="10">
        <v>33</v>
      </c>
      <c r="F42" t="s" s="8">
        <v>33</v>
      </c>
      <c r="G42" s="11"/>
      <c r="H42" s="12"/>
    </row>
    <row r="43" ht="14.6" customHeight="1">
      <c r="A43" t="s" s="8">
        <v>162</v>
      </c>
      <c r="B43" t="s" s="9">
        <v>137</v>
      </c>
      <c r="C43" t="s" s="8">
        <v>163</v>
      </c>
      <c r="D43" t="s" s="8">
        <v>164</v>
      </c>
      <c r="E43" t="s" s="10">
        <v>33</v>
      </c>
      <c r="F43" t="s" s="8">
        <v>33</v>
      </c>
      <c r="G43" s="11"/>
      <c r="H43" s="12"/>
    </row>
    <row r="44" ht="14.6" customHeight="1">
      <c r="A44" t="s" s="8">
        <v>165</v>
      </c>
      <c r="B44" t="s" s="9">
        <v>137</v>
      </c>
      <c r="C44" t="s" s="8">
        <v>166</v>
      </c>
      <c r="D44" t="s" s="8">
        <v>167</v>
      </c>
      <c r="E44" t="s" s="10">
        <v>58</v>
      </c>
      <c r="F44" t="s" s="8">
        <v>58</v>
      </c>
      <c r="G44" s="11"/>
      <c r="H44" s="12"/>
    </row>
    <row r="45" ht="14.6" customHeight="1">
      <c r="A45" t="s" s="8">
        <v>168</v>
      </c>
      <c r="B45" t="s" s="9">
        <v>169</v>
      </c>
      <c r="C45" t="s" s="8">
        <v>170</v>
      </c>
      <c r="D45" t="s" s="8">
        <v>171</v>
      </c>
      <c r="E45" t="s" s="10">
        <v>24</v>
      </c>
      <c r="F45" t="s" s="8">
        <v>24</v>
      </c>
      <c r="G45" s="11"/>
      <c r="H45" s="12"/>
    </row>
    <row r="46" ht="14.6" customHeight="1">
      <c r="A46" t="s" s="8">
        <v>172</v>
      </c>
      <c r="B46" t="s" s="9">
        <v>169</v>
      </c>
      <c r="C46" t="s" s="8">
        <v>173</v>
      </c>
      <c r="D46" t="s" s="8">
        <v>174</v>
      </c>
      <c r="E46" t="s" s="10">
        <v>24</v>
      </c>
      <c r="F46" t="s" s="8">
        <v>24</v>
      </c>
      <c r="G46" s="11"/>
      <c r="H46" s="12"/>
    </row>
    <row r="47" ht="14.6" customHeight="1">
      <c r="A47" t="s" s="8">
        <v>175</v>
      </c>
      <c r="B47" t="s" s="9">
        <v>169</v>
      </c>
      <c r="C47" t="s" s="8">
        <v>176</v>
      </c>
      <c r="D47" t="s" s="8">
        <v>177</v>
      </c>
      <c r="E47" t="s" s="10">
        <v>24</v>
      </c>
      <c r="F47" t="s" s="8">
        <v>24</v>
      </c>
      <c r="G47" s="11"/>
      <c r="H47" s="12"/>
    </row>
    <row r="48" ht="14.6" customHeight="1">
      <c r="A48" t="s" s="8">
        <v>178</v>
      </c>
      <c r="B48" t="s" s="9">
        <v>169</v>
      </c>
      <c r="C48" t="s" s="8">
        <v>179</v>
      </c>
      <c r="D48" t="s" s="8">
        <v>180</v>
      </c>
      <c r="E48" t="s" s="10">
        <v>33</v>
      </c>
      <c r="F48" t="s" s="8">
        <v>33</v>
      </c>
      <c r="G48" s="11"/>
      <c r="H48" s="12"/>
    </row>
    <row r="49" ht="14.6" customHeight="1">
      <c r="A49" t="s" s="8">
        <v>181</v>
      </c>
      <c r="B49" t="s" s="9">
        <v>169</v>
      </c>
      <c r="C49" t="s" s="8">
        <v>182</v>
      </c>
      <c r="D49" t="s" s="8">
        <v>183</v>
      </c>
      <c r="E49" t="s" s="10">
        <v>58</v>
      </c>
      <c r="F49" t="s" s="8">
        <v>58</v>
      </c>
      <c r="G49" s="11"/>
      <c r="H49" s="12"/>
    </row>
    <row r="50" ht="14.6" customHeight="1">
      <c r="A50" t="s" s="8">
        <v>184</v>
      </c>
      <c r="B50" t="s" s="9">
        <v>185</v>
      </c>
      <c r="C50" t="s" s="8">
        <v>186</v>
      </c>
      <c r="D50" t="s" s="8">
        <v>187</v>
      </c>
      <c r="E50" t="s" s="10">
        <v>24</v>
      </c>
      <c r="F50" t="s" s="8">
        <v>24</v>
      </c>
      <c r="G50" s="11"/>
      <c r="H50" s="12"/>
    </row>
    <row r="51" ht="26.6" customHeight="1">
      <c r="A51" t="s" s="8">
        <v>188</v>
      </c>
      <c r="B51" t="s" s="9">
        <v>185</v>
      </c>
      <c r="C51" t="s" s="8">
        <v>189</v>
      </c>
      <c r="D51" t="s" s="8">
        <v>190</v>
      </c>
      <c r="E51" t="s" s="10">
        <v>24</v>
      </c>
      <c r="F51" t="s" s="8">
        <v>24</v>
      </c>
      <c r="G51" s="11"/>
      <c r="H51" s="12"/>
    </row>
    <row r="52" ht="26.6" customHeight="1">
      <c r="A52" t="s" s="8">
        <v>191</v>
      </c>
      <c r="B52" t="s" s="9">
        <v>185</v>
      </c>
      <c r="C52" t="s" s="8">
        <v>192</v>
      </c>
      <c r="D52" t="s" s="8">
        <v>193</v>
      </c>
      <c r="E52" t="s" s="10">
        <v>24</v>
      </c>
      <c r="F52" t="s" s="8">
        <v>24</v>
      </c>
      <c r="G52" s="11"/>
      <c r="H52" s="12"/>
    </row>
    <row r="53" ht="14.6" customHeight="1">
      <c r="A53" t="s" s="8">
        <v>194</v>
      </c>
      <c r="B53" t="s" s="9">
        <v>185</v>
      </c>
      <c r="C53" t="s" s="8">
        <v>195</v>
      </c>
      <c r="D53" t="s" s="8">
        <v>196</v>
      </c>
      <c r="E53" t="s" s="10">
        <v>24</v>
      </c>
      <c r="F53" t="s" s="8">
        <v>24</v>
      </c>
      <c r="G53" s="11"/>
      <c r="H53" s="12"/>
    </row>
    <row r="54" ht="14.6" customHeight="1">
      <c r="A54" t="s" s="8">
        <v>197</v>
      </c>
      <c r="B54" t="s" s="9">
        <v>185</v>
      </c>
      <c r="C54" t="s" s="8">
        <v>198</v>
      </c>
      <c r="D54" t="s" s="8">
        <v>199</v>
      </c>
      <c r="E54" t="s" s="10">
        <v>58</v>
      </c>
      <c r="F54" t="s" s="8">
        <v>33</v>
      </c>
      <c r="G54" s="11"/>
      <c r="H54" s="12"/>
    </row>
    <row r="55" ht="14.6" customHeight="1">
      <c r="A55" t="s" s="8">
        <v>200</v>
      </c>
      <c r="B55" t="s" s="9">
        <v>185</v>
      </c>
      <c r="C55" t="s" s="8">
        <v>201</v>
      </c>
      <c r="D55" t="s" s="8">
        <v>202</v>
      </c>
      <c r="E55" t="s" s="10">
        <v>58</v>
      </c>
      <c r="F55" t="s" s="8">
        <v>33</v>
      </c>
      <c r="G55" s="11"/>
      <c r="H55" s="12"/>
    </row>
    <row r="56" ht="14.6" customHeight="1">
      <c r="A56" t="s" s="8">
        <v>203</v>
      </c>
      <c r="B56" t="s" s="9">
        <v>185</v>
      </c>
      <c r="C56" t="s" s="8">
        <v>204</v>
      </c>
      <c r="D56" t="s" s="8">
        <v>205</v>
      </c>
      <c r="E56" t="s" s="10">
        <v>33</v>
      </c>
      <c r="F56" t="s" s="8">
        <v>33</v>
      </c>
      <c r="G56" s="11"/>
      <c r="H56" s="12"/>
    </row>
    <row r="57" ht="14.6" customHeight="1">
      <c r="A57" t="s" s="8">
        <v>206</v>
      </c>
      <c r="B57" t="s" s="9">
        <v>185</v>
      </c>
      <c r="C57" t="s" s="8">
        <v>207</v>
      </c>
      <c r="D57" t="s" s="8">
        <v>208</v>
      </c>
      <c r="E57" t="s" s="10">
        <v>33</v>
      </c>
      <c r="F57" t="s" s="8">
        <v>33</v>
      </c>
      <c r="G57" s="11"/>
      <c r="H57" s="12"/>
    </row>
    <row r="58" ht="14.6" customHeight="1">
      <c r="A58" t="s" s="8">
        <v>209</v>
      </c>
      <c r="B58" t="s" s="9">
        <v>185</v>
      </c>
      <c r="C58" t="s" s="8">
        <v>210</v>
      </c>
      <c r="D58" t="s" s="8">
        <v>211</v>
      </c>
      <c r="E58" t="s" s="10">
        <v>33</v>
      </c>
      <c r="F58" t="s" s="8">
        <v>58</v>
      </c>
      <c r="G58" s="11"/>
      <c r="H58" s="12"/>
    </row>
    <row r="59" ht="14.6" customHeight="1">
      <c r="A59" t="s" s="8">
        <v>212</v>
      </c>
      <c r="B59" t="s" s="9">
        <v>185</v>
      </c>
      <c r="C59" t="s" s="8">
        <v>213</v>
      </c>
      <c r="D59" t="s" s="8">
        <v>214</v>
      </c>
      <c r="E59" t="s" s="10">
        <v>33</v>
      </c>
      <c r="F59" t="s" s="8">
        <v>58</v>
      </c>
      <c r="G59" s="11"/>
      <c r="H59" s="12"/>
    </row>
    <row r="60" ht="14.6" customHeight="1">
      <c r="A60" t="s" s="8">
        <v>215</v>
      </c>
      <c r="B60" t="s" s="9">
        <v>185</v>
      </c>
      <c r="C60" t="s" s="8">
        <v>216</v>
      </c>
      <c r="D60" t="s" s="8">
        <v>217</v>
      </c>
      <c r="E60" t="s" s="10">
        <v>58</v>
      </c>
      <c r="F60" t="s" s="8">
        <v>24</v>
      </c>
      <c r="G60" s="11"/>
      <c r="H60" s="12"/>
    </row>
    <row r="61" ht="14.6" customHeight="1">
      <c r="A61" t="s" s="8">
        <v>218</v>
      </c>
      <c r="B61" t="s" s="9">
        <v>185</v>
      </c>
      <c r="C61" t="s" s="8">
        <v>219</v>
      </c>
      <c r="D61" t="s" s="8">
        <v>220</v>
      </c>
      <c r="E61" t="s" s="10">
        <v>58</v>
      </c>
      <c r="F61" t="s" s="8">
        <v>33</v>
      </c>
      <c r="G61" s="11"/>
      <c r="H61" s="12"/>
    </row>
    <row r="62" ht="14.6" customHeight="1">
      <c r="A62" t="s" s="8">
        <v>221</v>
      </c>
      <c r="B62" t="s" s="9">
        <v>185</v>
      </c>
      <c r="C62" t="s" s="8">
        <v>222</v>
      </c>
      <c r="D62" t="s" s="8">
        <v>223</v>
      </c>
      <c r="E62" t="s" s="10">
        <v>33</v>
      </c>
      <c r="F62" t="s" s="8">
        <v>33</v>
      </c>
      <c r="G62" s="11"/>
      <c r="H62" s="12"/>
    </row>
    <row r="63" ht="14.6" customHeight="1">
      <c r="A63" t="s" s="8">
        <v>224</v>
      </c>
      <c r="B63" t="s" s="9">
        <v>185</v>
      </c>
      <c r="C63" t="s" s="8">
        <v>225</v>
      </c>
      <c r="D63" t="s" s="8">
        <v>226</v>
      </c>
      <c r="E63" t="s" s="10">
        <v>58</v>
      </c>
      <c r="F63" t="s" s="8">
        <v>58</v>
      </c>
      <c r="G63" s="11"/>
      <c r="H63" t="s" s="8">
        <v>116</v>
      </c>
    </row>
    <row r="64" ht="14.6" customHeight="1">
      <c r="A64" t="s" s="8">
        <v>227</v>
      </c>
      <c r="B64" t="s" s="9">
        <v>228</v>
      </c>
      <c r="C64" t="s" s="8">
        <v>229</v>
      </c>
      <c r="D64" t="s" s="8">
        <v>230</v>
      </c>
      <c r="E64" t="s" s="10">
        <v>24</v>
      </c>
      <c r="F64" t="s" s="8">
        <v>24</v>
      </c>
      <c r="G64" s="11"/>
      <c r="H64" s="12"/>
    </row>
    <row r="65" ht="14.6" customHeight="1">
      <c r="A65" t="s" s="8">
        <v>231</v>
      </c>
      <c r="B65" t="s" s="9">
        <v>228</v>
      </c>
      <c r="C65" t="s" s="8">
        <v>232</v>
      </c>
      <c r="D65" t="s" s="8">
        <v>233</v>
      </c>
      <c r="E65" t="s" s="10">
        <v>58</v>
      </c>
      <c r="F65" t="s" s="8">
        <v>24</v>
      </c>
      <c r="G65" s="11"/>
      <c r="H65" s="12"/>
    </row>
    <row r="66" ht="14.6" customHeight="1">
      <c r="A66" t="s" s="8">
        <v>234</v>
      </c>
      <c r="B66" t="s" s="9">
        <v>228</v>
      </c>
      <c r="C66" t="s" s="8">
        <v>235</v>
      </c>
      <c r="D66" t="s" s="8">
        <v>236</v>
      </c>
      <c r="E66" t="s" s="10">
        <v>58</v>
      </c>
      <c r="F66" t="s" s="8">
        <v>33</v>
      </c>
      <c r="G66" s="11"/>
      <c r="H66" s="12"/>
    </row>
    <row r="67" ht="14.6" customHeight="1">
      <c r="A67" t="s" s="8">
        <v>237</v>
      </c>
      <c r="B67" t="s" s="9">
        <v>228</v>
      </c>
      <c r="C67" t="s" s="8">
        <v>238</v>
      </c>
      <c r="D67" t="s" s="8">
        <v>239</v>
      </c>
      <c r="E67" t="s" s="10">
        <v>24</v>
      </c>
      <c r="F67" t="s" s="8">
        <v>24</v>
      </c>
      <c r="G67" s="11"/>
      <c r="H67" s="12"/>
    </row>
    <row r="68" ht="14.6" customHeight="1">
      <c r="A68" t="s" s="8">
        <v>240</v>
      </c>
      <c r="B68" t="s" s="9">
        <v>228</v>
      </c>
      <c r="C68" t="s" s="8">
        <v>241</v>
      </c>
      <c r="D68" t="s" s="8">
        <v>242</v>
      </c>
      <c r="E68" t="s" s="10">
        <v>33</v>
      </c>
      <c r="F68" t="s" s="8">
        <v>33</v>
      </c>
      <c r="G68" s="11"/>
      <c r="H68" s="12"/>
    </row>
    <row r="69" ht="14.6" customHeight="1">
      <c r="A69" t="s" s="8">
        <v>243</v>
      </c>
      <c r="B69" t="s" s="9">
        <v>228</v>
      </c>
      <c r="C69" t="s" s="8">
        <v>244</v>
      </c>
      <c r="D69" t="s" s="8">
        <v>245</v>
      </c>
      <c r="E69" t="s" s="10">
        <v>33</v>
      </c>
      <c r="F69" t="s" s="8">
        <v>24</v>
      </c>
      <c r="G69" s="11"/>
      <c r="H69" s="12"/>
    </row>
    <row r="70" ht="14.6" customHeight="1">
      <c r="A70" t="s" s="8">
        <v>246</v>
      </c>
      <c r="B70" t="s" s="9">
        <v>228</v>
      </c>
      <c r="C70" t="s" s="8">
        <v>247</v>
      </c>
      <c r="D70" t="s" s="8">
        <v>248</v>
      </c>
      <c r="E70" t="s" s="10">
        <v>24</v>
      </c>
      <c r="F70" t="s" s="8">
        <v>33</v>
      </c>
      <c r="G70" s="11"/>
      <c r="H70" s="12"/>
    </row>
    <row r="71" ht="14.6" customHeight="1">
      <c r="A71" t="s" s="8">
        <v>249</v>
      </c>
      <c r="B71" t="s" s="9">
        <v>228</v>
      </c>
      <c r="C71" t="s" s="8">
        <v>250</v>
      </c>
      <c r="D71" t="s" s="8">
        <v>251</v>
      </c>
      <c r="E71" t="s" s="10">
        <v>58</v>
      </c>
      <c r="F71" t="s" s="8">
        <v>58</v>
      </c>
      <c r="G71" s="11"/>
      <c r="H71" s="12"/>
    </row>
    <row r="72" ht="14.6" customHeight="1">
      <c r="A72" t="s" s="8">
        <v>252</v>
      </c>
      <c r="B72" t="s" s="9">
        <v>228</v>
      </c>
      <c r="C72" t="s" s="8">
        <v>253</v>
      </c>
      <c r="D72" t="s" s="8">
        <v>254</v>
      </c>
      <c r="E72" t="s" s="10">
        <v>24</v>
      </c>
      <c r="F72" t="s" s="8">
        <v>24</v>
      </c>
      <c r="G72" s="11"/>
      <c r="H72" s="12"/>
    </row>
    <row r="73" ht="14.6" customHeight="1">
      <c r="A73" t="s" s="8">
        <v>255</v>
      </c>
      <c r="B73" t="s" s="9">
        <v>228</v>
      </c>
      <c r="C73" t="s" s="8">
        <v>256</v>
      </c>
      <c r="D73" t="s" s="8">
        <v>257</v>
      </c>
      <c r="E73" t="s" s="10">
        <v>58</v>
      </c>
      <c r="F73" t="s" s="8">
        <v>58</v>
      </c>
      <c r="G73" s="11"/>
      <c r="H73" s="12"/>
    </row>
    <row r="74" ht="14.6" customHeight="1">
      <c r="A74" t="s" s="8">
        <v>258</v>
      </c>
      <c r="B74" t="s" s="9">
        <v>228</v>
      </c>
      <c r="C74" t="s" s="8">
        <v>259</v>
      </c>
      <c r="D74" t="s" s="8">
        <v>260</v>
      </c>
      <c r="E74" t="s" s="10">
        <v>24</v>
      </c>
      <c r="F74" t="s" s="8">
        <v>33</v>
      </c>
      <c r="G74" s="11"/>
      <c r="H74" s="12"/>
    </row>
    <row r="75" ht="14.6" customHeight="1">
      <c r="A75" t="s" s="8">
        <v>261</v>
      </c>
      <c r="B75" t="s" s="9">
        <v>228</v>
      </c>
      <c r="C75" t="s" s="8">
        <v>262</v>
      </c>
      <c r="D75" t="s" s="8">
        <v>263</v>
      </c>
      <c r="E75" t="s" s="10">
        <v>33</v>
      </c>
      <c r="F75" t="s" s="8">
        <v>58</v>
      </c>
      <c r="G75" s="11"/>
      <c r="H75" s="12"/>
    </row>
    <row r="76" ht="14.6" customHeight="1">
      <c r="A76" t="s" s="8">
        <v>264</v>
      </c>
      <c r="B76" t="s" s="9">
        <v>265</v>
      </c>
      <c r="C76" t="s" s="8">
        <v>266</v>
      </c>
      <c r="D76" t="s" s="8">
        <v>267</v>
      </c>
      <c r="E76" t="s" s="10">
        <v>24</v>
      </c>
      <c r="F76" t="s" s="8">
        <v>24</v>
      </c>
      <c r="G76" s="11"/>
      <c r="H76" s="12"/>
    </row>
    <row r="77" ht="14.6" customHeight="1">
      <c r="A77" t="s" s="8">
        <v>268</v>
      </c>
      <c r="B77" t="s" s="9">
        <v>265</v>
      </c>
      <c r="C77" t="s" s="8">
        <v>269</v>
      </c>
      <c r="D77" t="s" s="8">
        <v>270</v>
      </c>
      <c r="E77" t="s" s="10">
        <v>24</v>
      </c>
      <c r="F77" t="s" s="8">
        <v>24</v>
      </c>
      <c r="G77" s="11"/>
      <c r="H77" s="12"/>
    </row>
    <row r="78" ht="14.6" customHeight="1">
      <c r="A78" t="s" s="8">
        <v>271</v>
      </c>
      <c r="B78" t="s" s="9">
        <v>265</v>
      </c>
      <c r="C78" t="s" s="8">
        <v>272</v>
      </c>
      <c r="D78" t="s" s="8">
        <v>273</v>
      </c>
      <c r="E78" t="s" s="10">
        <v>33</v>
      </c>
      <c r="F78" t="s" s="8">
        <v>33</v>
      </c>
      <c r="G78" s="11"/>
      <c r="H78" s="12"/>
    </row>
    <row r="79" ht="14.6" customHeight="1">
      <c r="A79" t="s" s="8">
        <v>274</v>
      </c>
      <c r="B79" t="s" s="9">
        <v>265</v>
      </c>
      <c r="C79" t="s" s="8">
        <v>275</v>
      </c>
      <c r="D79" t="s" s="8">
        <v>276</v>
      </c>
      <c r="E79" t="s" s="10">
        <v>24</v>
      </c>
      <c r="F79" t="s" s="8">
        <v>24</v>
      </c>
      <c r="G79" s="11"/>
      <c r="H79" s="12"/>
    </row>
    <row r="80" ht="14.6" customHeight="1">
      <c r="A80" t="s" s="8">
        <v>277</v>
      </c>
      <c r="B80" t="s" s="9">
        <v>265</v>
      </c>
      <c r="C80" t="s" s="8">
        <v>278</v>
      </c>
      <c r="D80" t="s" s="8">
        <v>279</v>
      </c>
      <c r="E80" t="s" s="10">
        <v>24</v>
      </c>
      <c r="F80" t="s" s="8">
        <v>24</v>
      </c>
      <c r="G80" s="11"/>
      <c r="H80" s="12"/>
    </row>
    <row r="81" ht="14.6" customHeight="1">
      <c r="A81" t="s" s="8">
        <v>280</v>
      </c>
      <c r="B81" t="s" s="9">
        <v>265</v>
      </c>
      <c r="C81" t="s" s="8">
        <v>281</v>
      </c>
      <c r="D81" t="s" s="8">
        <v>282</v>
      </c>
      <c r="E81" t="s" s="10">
        <v>24</v>
      </c>
      <c r="F81" t="s" s="8">
        <v>33</v>
      </c>
      <c r="G81" s="11"/>
      <c r="H81" s="12"/>
    </row>
    <row r="82" ht="14.6" customHeight="1">
      <c r="A82" t="s" s="8">
        <v>283</v>
      </c>
      <c r="B82" t="s" s="9">
        <v>265</v>
      </c>
      <c r="C82" t="s" s="8">
        <v>284</v>
      </c>
      <c r="D82" t="s" s="8">
        <v>285</v>
      </c>
      <c r="E82" t="s" s="10">
        <v>24</v>
      </c>
      <c r="F82" t="s" s="8">
        <v>33</v>
      </c>
      <c r="G82" s="11"/>
      <c r="H82" s="12"/>
    </row>
    <row r="83" ht="14.6" customHeight="1">
      <c r="A83" t="s" s="8">
        <v>286</v>
      </c>
      <c r="B83" t="s" s="9">
        <v>265</v>
      </c>
      <c r="C83" t="s" s="8">
        <v>287</v>
      </c>
      <c r="D83" t="s" s="8">
        <v>288</v>
      </c>
      <c r="E83" t="s" s="10">
        <v>58</v>
      </c>
      <c r="F83" t="s" s="8">
        <v>24</v>
      </c>
      <c r="G83" s="11"/>
      <c r="H83" s="12"/>
    </row>
    <row r="84" ht="26.6" customHeight="1">
      <c r="A84" t="s" s="8">
        <v>289</v>
      </c>
      <c r="B84" t="s" s="9">
        <v>265</v>
      </c>
      <c r="C84" t="s" s="8">
        <v>290</v>
      </c>
      <c r="D84" t="s" s="8">
        <v>291</v>
      </c>
      <c r="E84" t="s" s="10">
        <v>24</v>
      </c>
      <c r="F84" t="s" s="8">
        <v>33</v>
      </c>
      <c r="G84" s="11"/>
      <c r="H84" s="12"/>
    </row>
    <row r="85" ht="14.6" customHeight="1">
      <c r="A85" t="s" s="8">
        <v>292</v>
      </c>
      <c r="B85" t="s" s="9">
        <v>265</v>
      </c>
      <c r="C85" t="s" s="8">
        <v>293</v>
      </c>
      <c r="D85" t="s" s="8">
        <v>294</v>
      </c>
      <c r="E85" t="s" s="10">
        <v>33</v>
      </c>
      <c r="F85" t="s" s="8">
        <v>24</v>
      </c>
      <c r="G85" s="11"/>
      <c r="H85" s="12"/>
    </row>
    <row r="86" ht="14.6" customHeight="1">
      <c r="A86" t="s" s="8">
        <v>295</v>
      </c>
      <c r="B86" t="s" s="9">
        <v>265</v>
      </c>
      <c r="C86" t="s" s="8">
        <v>296</v>
      </c>
      <c r="D86" t="s" s="8">
        <v>297</v>
      </c>
      <c r="E86" t="s" s="10">
        <v>33</v>
      </c>
      <c r="F86" t="s" s="8">
        <v>33</v>
      </c>
      <c r="G86" s="11"/>
      <c r="H86" s="12"/>
    </row>
    <row r="87" ht="14.6" customHeight="1">
      <c r="A87" t="s" s="8">
        <v>298</v>
      </c>
      <c r="B87" t="s" s="9">
        <v>265</v>
      </c>
      <c r="C87" t="s" s="8">
        <v>299</v>
      </c>
      <c r="D87" t="s" s="8">
        <v>300</v>
      </c>
      <c r="E87" t="s" s="10">
        <v>58</v>
      </c>
      <c r="F87" t="s" s="8">
        <v>33</v>
      </c>
      <c r="G87" s="11"/>
      <c r="H87" s="12"/>
    </row>
    <row r="88" ht="14.6" customHeight="1">
      <c r="A88" t="s" s="8">
        <v>301</v>
      </c>
      <c r="B88" t="s" s="9">
        <v>265</v>
      </c>
      <c r="C88" t="s" s="8">
        <v>302</v>
      </c>
      <c r="D88" t="s" s="8">
        <v>303</v>
      </c>
      <c r="E88" t="s" s="10">
        <v>33</v>
      </c>
      <c r="F88" t="s" s="8">
        <v>58</v>
      </c>
      <c r="G88" s="11"/>
      <c r="H88" t="s" s="8">
        <v>116</v>
      </c>
    </row>
    <row r="89" ht="14.6" customHeight="1">
      <c r="A89" t="s" s="8">
        <v>304</v>
      </c>
      <c r="B89" t="s" s="9">
        <v>305</v>
      </c>
      <c r="C89" t="s" s="8">
        <v>306</v>
      </c>
      <c r="D89" t="s" s="8">
        <v>307</v>
      </c>
      <c r="E89" t="s" s="10">
        <v>33</v>
      </c>
      <c r="F89" t="s" s="8">
        <v>24</v>
      </c>
      <c r="G89" s="11"/>
      <c r="H89" s="12"/>
    </row>
    <row r="90" ht="14.6" customHeight="1">
      <c r="A90" t="s" s="8">
        <v>308</v>
      </c>
      <c r="B90" t="s" s="9">
        <v>305</v>
      </c>
      <c r="C90" t="s" s="8">
        <v>309</v>
      </c>
      <c r="D90" t="s" s="8">
        <v>310</v>
      </c>
      <c r="E90" t="s" s="10">
        <v>24</v>
      </c>
      <c r="F90" t="s" s="8">
        <v>58</v>
      </c>
      <c r="G90" s="11"/>
      <c r="H90" s="12"/>
    </row>
    <row r="91" ht="14.6" customHeight="1">
      <c r="A91" t="s" s="8">
        <v>311</v>
      </c>
      <c r="B91" t="s" s="9">
        <v>305</v>
      </c>
      <c r="C91" t="s" s="8">
        <v>312</v>
      </c>
      <c r="D91" t="s" s="8">
        <v>313</v>
      </c>
      <c r="E91" t="s" s="10">
        <v>24</v>
      </c>
      <c r="F91" t="s" s="8">
        <v>24</v>
      </c>
      <c r="G91" s="11"/>
      <c r="H91" s="12"/>
    </row>
    <row r="92" ht="14.6" customHeight="1">
      <c r="A92" t="s" s="8">
        <v>314</v>
      </c>
      <c r="B92" t="s" s="9">
        <v>305</v>
      </c>
      <c r="C92" t="s" s="8">
        <v>315</v>
      </c>
      <c r="D92" t="s" s="8">
        <v>316</v>
      </c>
      <c r="E92" t="s" s="10">
        <v>24</v>
      </c>
      <c r="F92" t="s" s="8">
        <v>24</v>
      </c>
      <c r="G92" s="11"/>
      <c r="H92" s="12"/>
    </row>
    <row r="93" ht="14.6" customHeight="1">
      <c r="A93" t="s" s="8">
        <v>317</v>
      </c>
      <c r="B93" t="s" s="9">
        <v>305</v>
      </c>
      <c r="C93" t="s" s="8">
        <v>318</v>
      </c>
      <c r="D93" t="s" s="8">
        <v>319</v>
      </c>
      <c r="E93" t="s" s="10">
        <v>24</v>
      </c>
      <c r="F93" t="s" s="8">
        <v>24</v>
      </c>
      <c r="G93" s="11"/>
      <c r="H93" t="s" s="8">
        <v>320</v>
      </c>
    </row>
    <row r="94" ht="14.6" customHeight="1">
      <c r="A94" t="s" s="8">
        <v>321</v>
      </c>
      <c r="B94" t="s" s="9">
        <v>305</v>
      </c>
      <c r="C94" t="s" s="8">
        <v>322</v>
      </c>
      <c r="D94" t="s" s="8">
        <v>323</v>
      </c>
      <c r="E94" t="s" s="10">
        <v>33</v>
      </c>
      <c r="F94" t="s" s="8">
        <v>24</v>
      </c>
      <c r="G94" s="11"/>
      <c r="H94" s="12"/>
    </row>
    <row r="95" ht="14.6" customHeight="1">
      <c r="A95" t="s" s="8">
        <v>324</v>
      </c>
      <c r="B95" t="s" s="9">
        <v>305</v>
      </c>
      <c r="C95" t="s" s="8">
        <v>325</v>
      </c>
      <c r="D95" t="s" s="8">
        <v>326</v>
      </c>
      <c r="E95" t="s" s="10">
        <v>33</v>
      </c>
      <c r="F95" t="s" s="8">
        <v>58</v>
      </c>
      <c r="G95" s="11"/>
      <c r="H95" s="12"/>
    </row>
    <row r="96" ht="14.6" customHeight="1">
      <c r="A96" t="s" s="8">
        <v>327</v>
      </c>
      <c r="B96" t="s" s="9">
        <v>305</v>
      </c>
      <c r="C96" t="s" s="8">
        <v>328</v>
      </c>
      <c r="D96" t="s" s="8">
        <v>329</v>
      </c>
      <c r="E96" t="s" s="10">
        <v>33</v>
      </c>
      <c r="F96" t="s" s="8">
        <v>33</v>
      </c>
      <c r="G96" s="11"/>
      <c r="H96" s="12"/>
    </row>
    <row r="97" ht="14.6" customHeight="1">
      <c r="A97" t="s" s="8">
        <v>330</v>
      </c>
      <c r="B97" t="s" s="9">
        <v>305</v>
      </c>
      <c r="C97" t="s" s="8">
        <v>331</v>
      </c>
      <c r="D97" t="s" s="8">
        <v>332</v>
      </c>
      <c r="E97" t="s" s="10">
        <v>33</v>
      </c>
      <c r="F97" t="s" s="8">
        <v>58</v>
      </c>
      <c r="G97" s="11"/>
      <c r="H97" t="s" s="8">
        <v>116</v>
      </c>
    </row>
    <row r="98" ht="14.6" customHeight="1">
      <c r="A98" t="s" s="8">
        <v>333</v>
      </c>
      <c r="B98" t="s" s="9">
        <v>334</v>
      </c>
      <c r="C98" t="s" s="8">
        <v>335</v>
      </c>
      <c r="D98" t="s" s="8">
        <v>336</v>
      </c>
      <c r="E98" t="s" s="10">
        <v>24</v>
      </c>
      <c r="F98" t="s" s="8">
        <v>24</v>
      </c>
      <c r="G98" s="11"/>
      <c r="H98" s="12"/>
    </row>
    <row r="99" ht="14.6" customHeight="1">
      <c r="A99" t="s" s="8">
        <v>337</v>
      </c>
      <c r="B99" t="s" s="9">
        <v>334</v>
      </c>
      <c r="C99" t="s" s="8">
        <v>338</v>
      </c>
      <c r="D99" t="s" s="8">
        <v>339</v>
      </c>
      <c r="E99" t="s" s="10">
        <v>24</v>
      </c>
      <c r="F99" t="s" s="8">
        <v>24</v>
      </c>
      <c r="G99" s="11"/>
      <c r="H99" s="12"/>
    </row>
    <row r="100" ht="14.6" customHeight="1">
      <c r="A100" t="s" s="8">
        <v>340</v>
      </c>
      <c r="B100" t="s" s="9">
        <v>334</v>
      </c>
      <c r="C100" t="s" s="8">
        <v>341</v>
      </c>
      <c r="D100" t="s" s="8">
        <v>342</v>
      </c>
      <c r="E100" t="s" s="10">
        <v>24</v>
      </c>
      <c r="F100" t="s" s="8">
        <v>24</v>
      </c>
      <c r="G100" s="11"/>
      <c r="H100" s="12"/>
    </row>
    <row r="101" ht="26.6" customHeight="1">
      <c r="A101" t="s" s="8">
        <v>343</v>
      </c>
      <c r="B101" t="s" s="9">
        <v>334</v>
      </c>
      <c r="C101" t="s" s="8">
        <v>344</v>
      </c>
      <c r="D101" t="s" s="8">
        <v>345</v>
      </c>
      <c r="E101" t="s" s="10">
        <v>24</v>
      </c>
      <c r="F101" t="s" s="8">
        <v>24</v>
      </c>
      <c r="G101" s="11"/>
      <c r="H101" s="12"/>
    </row>
    <row r="102" ht="14.6" customHeight="1">
      <c r="A102" t="s" s="8">
        <v>346</v>
      </c>
      <c r="B102" t="s" s="9">
        <v>334</v>
      </c>
      <c r="C102" t="s" s="8">
        <v>347</v>
      </c>
      <c r="D102" t="s" s="8">
        <v>348</v>
      </c>
      <c r="E102" t="s" s="10">
        <v>24</v>
      </c>
      <c r="F102" t="s" s="8">
        <v>24</v>
      </c>
      <c r="G102" s="11"/>
      <c r="H102" s="12"/>
    </row>
    <row r="103" ht="26.6" customHeight="1">
      <c r="A103" t="s" s="8">
        <v>349</v>
      </c>
      <c r="B103" t="s" s="9">
        <v>334</v>
      </c>
      <c r="C103" t="s" s="8">
        <v>350</v>
      </c>
      <c r="D103" t="s" s="8">
        <v>351</v>
      </c>
      <c r="E103" t="s" s="10">
        <v>24</v>
      </c>
      <c r="F103" t="s" s="8">
        <v>24</v>
      </c>
      <c r="G103" s="11"/>
      <c r="H103" s="12"/>
    </row>
    <row r="104" ht="14.6" customHeight="1">
      <c r="A104" t="s" s="8">
        <v>352</v>
      </c>
      <c r="B104" t="s" s="9">
        <v>334</v>
      </c>
      <c r="C104" t="s" s="8">
        <v>353</v>
      </c>
      <c r="D104" t="s" s="8">
        <v>354</v>
      </c>
      <c r="E104" t="s" s="10">
        <v>24</v>
      </c>
      <c r="F104" t="s" s="8">
        <v>24</v>
      </c>
      <c r="G104" s="11"/>
      <c r="H104" s="12"/>
    </row>
    <row r="105" ht="14.6" customHeight="1">
      <c r="A105" t="s" s="8">
        <v>355</v>
      </c>
      <c r="B105" t="s" s="9">
        <v>334</v>
      </c>
      <c r="C105" t="s" s="8">
        <v>356</v>
      </c>
      <c r="D105" t="s" s="8">
        <v>357</v>
      </c>
      <c r="E105" t="s" s="10">
        <v>58</v>
      </c>
      <c r="F105" t="s" s="8">
        <v>33</v>
      </c>
      <c r="G105" s="11"/>
      <c r="H105" s="12"/>
    </row>
    <row r="106" ht="14.6" customHeight="1">
      <c r="A106" t="s" s="8">
        <v>358</v>
      </c>
      <c r="B106" t="s" s="9">
        <v>334</v>
      </c>
      <c r="C106" t="s" s="8">
        <v>359</v>
      </c>
      <c r="D106" t="s" s="8">
        <v>360</v>
      </c>
      <c r="E106" t="s" s="10">
        <v>58</v>
      </c>
      <c r="F106" t="s" s="8">
        <v>58</v>
      </c>
      <c r="G106" s="11"/>
      <c r="H106" s="12"/>
    </row>
    <row r="107" ht="14.6" customHeight="1">
      <c r="A107" t="s" s="8">
        <v>361</v>
      </c>
      <c r="B107" t="s" s="9">
        <v>334</v>
      </c>
      <c r="C107" t="s" s="8">
        <v>362</v>
      </c>
      <c r="D107" t="s" s="8">
        <v>363</v>
      </c>
      <c r="E107" t="s" s="10">
        <v>33</v>
      </c>
      <c r="F107" t="s" s="8">
        <v>33</v>
      </c>
      <c r="G107" s="11"/>
      <c r="H107" s="12"/>
    </row>
    <row r="108" ht="14.6" customHeight="1">
      <c r="A108" t="s" s="8">
        <v>364</v>
      </c>
      <c r="B108" t="s" s="9">
        <v>334</v>
      </c>
      <c r="C108" t="s" s="8">
        <v>365</v>
      </c>
      <c r="D108" t="s" s="8">
        <v>366</v>
      </c>
      <c r="E108" t="s" s="10">
        <v>58</v>
      </c>
      <c r="F108" t="s" s="8">
        <v>58</v>
      </c>
      <c r="G108" s="11"/>
      <c r="H108" t="s" s="8">
        <v>116</v>
      </c>
    </row>
    <row r="109" ht="26.6" customHeight="1">
      <c r="A109" t="s" s="8">
        <v>367</v>
      </c>
      <c r="B109" t="s" s="9">
        <v>368</v>
      </c>
      <c r="C109" t="s" s="8">
        <v>369</v>
      </c>
      <c r="D109" t="s" s="8">
        <v>370</v>
      </c>
      <c r="E109" t="s" s="10">
        <v>24</v>
      </c>
      <c r="F109" t="s" s="8">
        <v>24</v>
      </c>
      <c r="G109" s="11"/>
      <c r="H109" s="12"/>
    </row>
    <row r="110" ht="14.6" customHeight="1">
      <c r="A110" t="s" s="8">
        <v>371</v>
      </c>
      <c r="B110" t="s" s="9">
        <v>368</v>
      </c>
      <c r="C110" t="s" s="8">
        <v>372</v>
      </c>
      <c r="D110" t="s" s="8">
        <v>373</v>
      </c>
      <c r="E110" t="s" s="10">
        <v>24</v>
      </c>
      <c r="F110" t="s" s="8">
        <v>24</v>
      </c>
      <c r="G110" s="11"/>
      <c r="H110" s="12"/>
    </row>
    <row r="111" ht="14.6" customHeight="1">
      <c r="A111" t="s" s="8">
        <v>374</v>
      </c>
      <c r="B111" t="s" s="9">
        <v>368</v>
      </c>
      <c r="C111" t="s" s="8">
        <v>375</v>
      </c>
      <c r="D111" t="s" s="8">
        <v>376</v>
      </c>
      <c r="E111" t="s" s="10">
        <v>33</v>
      </c>
      <c r="F111" t="s" s="8">
        <v>33</v>
      </c>
      <c r="G111" s="11"/>
      <c r="H111" s="12"/>
    </row>
    <row r="112" ht="14.6" customHeight="1">
      <c r="A112" t="s" s="8">
        <v>377</v>
      </c>
      <c r="B112" t="s" s="9">
        <v>368</v>
      </c>
      <c r="C112" t="s" s="8">
        <v>378</v>
      </c>
      <c r="D112" t="s" s="8">
        <v>379</v>
      </c>
      <c r="E112" s="13"/>
      <c r="F112" t="s" s="8">
        <v>24</v>
      </c>
      <c r="G112" s="11"/>
      <c r="H112" s="12"/>
    </row>
    <row r="113" ht="14.6" customHeight="1">
      <c r="A113" t="s" s="8">
        <v>380</v>
      </c>
      <c r="B113" t="s" s="9">
        <v>368</v>
      </c>
      <c r="C113" t="s" s="8">
        <v>381</v>
      </c>
      <c r="D113" t="s" s="8">
        <v>382</v>
      </c>
      <c r="E113" s="13"/>
      <c r="F113" t="s" s="8">
        <v>33</v>
      </c>
      <c r="G113" s="11"/>
      <c r="H113" s="12"/>
    </row>
    <row r="114" ht="14.6" customHeight="1">
      <c r="A114" t="s" s="8">
        <v>383</v>
      </c>
      <c r="B114" t="s" s="9">
        <v>368</v>
      </c>
      <c r="C114" t="s" s="8">
        <v>384</v>
      </c>
      <c r="D114" t="s" s="8">
        <v>385</v>
      </c>
      <c r="E114" s="13"/>
      <c r="F114" t="s" s="8">
        <v>33</v>
      </c>
      <c r="G114" s="11"/>
      <c r="H114" s="12"/>
    </row>
    <row r="115" ht="14.6" customHeight="1">
      <c r="A115" t="s" s="8">
        <v>386</v>
      </c>
      <c r="B115" t="s" s="9">
        <v>368</v>
      </c>
      <c r="C115" t="s" s="8">
        <v>387</v>
      </c>
      <c r="D115" t="s" s="8">
        <v>388</v>
      </c>
      <c r="E115" s="13"/>
      <c r="F115" t="s" s="8">
        <v>24</v>
      </c>
      <c r="G115" s="11"/>
      <c r="H115" s="12"/>
    </row>
    <row r="116" ht="14.6" customHeight="1">
      <c r="A116" t="s" s="8">
        <v>389</v>
      </c>
      <c r="B116" t="s" s="9">
        <v>368</v>
      </c>
      <c r="C116" t="s" s="8">
        <v>390</v>
      </c>
      <c r="D116" t="s" s="8">
        <v>391</v>
      </c>
      <c r="E116" s="13"/>
      <c r="F116" t="s" s="8">
        <v>33</v>
      </c>
      <c r="G116" s="11"/>
      <c r="H116" s="12"/>
    </row>
    <row r="117" ht="14.6" customHeight="1">
      <c r="A117" t="s" s="8">
        <v>392</v>
      </c>
      <c r="B117" t="s" s="9">
        <v>368</v>
      </c>
      <c r="C117" t="s" s="8">
        <v>393</v>
      </c>
      <c r="D117" t="s" s="8">
        <v>394</v>
      </c>
      <c r="E117" s="13"/>
      <c r="F117" t="s" s="8">
        <v>33</v>
      </c>
      <c r="G117" s="11"/>
      <c r="H117" s="12"/>
    </row>
    <row r="118" ht="14.6" customHeight="1">
      <c r="A118" t="s" s="8">
        <v>395</v>
      </c>
      <c r="B118" t="s" s="9">
        <v>368</v>
      </c>
      <c r="C118" t="s" s="8">
        <v>396</v>
      </c>
      <c r="D118" t="s" s="8">
        <v>397</v>
      </c>
      <c r="E118" s="13"/>
      <c r="F118" t="s" s="8">
        <v>58</v>
      </c>
      <c r="G118" s="11"/>
      <c r="H118" t="s" s="8">
        <v>116</v>
      </c>
    </row>
    <row r="119" ht="14.6" customHeight="1">
      <c r="A119" t="s" s="8">
        <v>398</v>
      </c>
      <c r="B119" t="s" s="9">
        <v>399</v>
      </c>
      <c r="C119" t="s" s="8">
        <v>400</v>
      </c>
      <c r="D119" t="s" s="8">
        <v>401</v>
      </c>
      <c r="E119" s="13"/>
      <c r="F119" t="s" s="8">
        <v>24</v>
      </c>
      <c r="G119" s="11"/>
      <c r="H119" s="12"/>
    </row>
    <row r="120" ht="14.6" customHeight="1">
      <c r="A120" t="s" s="8">
        <v>402</v>
      </c>
      <c r="B120" t="s" s="9">
        <v>399</v>
      </c>
      <c r="C120" t="s" s="8">
        <v>403</v>
      </c>
      <c r="D120" t="s" s="8">
        <v>404</v>
      </c>
      <c r="E120" s="13"/>
      <c r="F120" t="s" s="8">
        <v>24</v>
      </c>
      <c r="G120" s="11"/>
      <c r="H120" s="12"/>
    </row>
    <row r="121" ht="14.6" customHeight="1">
      <c r="A121" t="s" s="8">
        <v>405</v>
      </c>
      <c r="B121" t="s" s="9">
        <v>399</v>
      </c>
      <c r="C121" t="s" s="8">
        <v>406</v>
      </c>
      <c r="D121" t="s" s="8">
        <v>407</v>
      </c>
      <c r="E121" s="13"/>
      <c r="F121" t="s" s="8">
        <v>24</v>
      </c>
      <c r="G121" s="11"/>
      <c r="H121" s="12"/>
    </row>
    <row r="122" ht="14.6" customHeight="1">
      <c r="A122" t="s" s="8">
        <v>408</v>
      </c>
      <c r="B122" t="s" s="9">
        <v>399</v>
      </c>
      <c r="C122" t="s" s="8">
        <v>409</v>
      </c>
      <c r="D122" t="s" s="8">
        <v>410</v>
      </c>
      <c r="E122" s="13"/>
      <c r="F122" t="s" s="8">
        <v>33</v>
      </c>
      <c r="G122" s="11"/>
      <c r="H122" s="12"/>
    </row>
    <row r="123" ht="14.6" customHeight="1">
      <c r="A123" t="s" s="8">
        <v>411</v>
      </c>
      <c r="B123" t="s" s="9">
        <v>399</v>
      </c>
      <c r="C123" t="s" s="8">
        <v>412</v>
      </c>
      <c r="D123" t="s" s="8">
        <v>413</v>
      </c>
      <c r="E123" s="13"/>
      <c r="F123" t="s" s="8">
        <v>24</v>
      </c>
      <c r="G123" s="11"/>
      <c r="H123" s="12"/>
    </row>
    <row r="124" ht="14.6" customHeight="1">
      <c r="A124" t="s" s="8">
        <v>414</v>
      </c>
      <c r="B124" t="s" s="9">
        <v>399</v>
      </c>
      <c r="C124" t="s" s="8">
        <v>415</v>
      </c>
      <c r="D124" t="s" s="8">
        <v>416</v>
      </c>
      <c r="E124" s="13"/>
      <c r="F124" t="s" s="8">
        <v>33</v>
      </c>
      <c r="G124" s="11"/>
      <c r="H124" s="12"/>
    </row>
    <row r="125" ht="14.6" customHeight="1">
      <c r="A125" t="s" s="8">
        <v>417</v>
      </c>
      <c r="B125" t="s" s="9">
        <v>399</v>
      </c>
      <c r="C125" t="s" s="8">
        <v>418</v>
      </c>
      <c r="D125" t="s" s="8">
        <v>419</v>
      </c>
      <c r="E125" s="13"/>
      <c r="F125" t="s" s="8">
        <v>33</v>
      </c>
      <c r="G125" s="11"/>
      <c r="H125" s="12"/>
    </row>
    <row r="126" ht="14.6" customHeight="1">
      <c r="A126" t="s" s="8">
        <v>420</v>
      </c>
      <c r="B126" t="s" s="9">
        <v>399</v>
      </c>
      <c r="C126" t="s" s="8">
        <v>421</v>
      </c>
      <c r="D126" t="s" s="8">
        <v>422</v>
      </c>
      <c r="E126" s="13"/>
      <c r="F126" t="s" s="8">
        <v>58</v>
      </c>
      <c r="G126" s="11"/>
      <c r="H126" t="s" s="8">
        <v>116</v>
      </c>
    </row>
    <row r="127" ht="26.6" customHeight="1">
      <c r="A127" t="s" s="8">
        <v>423</v>
      </c>
      <c r="B127" t="s" s="9">
        <v>424</v>
      </c>
      <c r="C127" t="s" s="8">
        <v>425</v>
      </c>
      <c r="D127" t="s" s="8">
        <v>426</v>
      </c>
      <c r="E127" s="13"/>
      <c r="F127" t="s" s="8">
        <v>24</v>
      </c>
      <c r="G127" s="11"/>
      <c r="H127" s="12"/>
    </row>
    <row r="128" ht="26.6" customHeight="1">
      <c r="A128" t="s" s="8">
        <v>427</v>
      </c>
      <c r="B128" t="s" s="9">
        <v>424</v>
      </c>
      <c r="C128" t="s" s="8">
        <v>428</v>
      </c>
      <c r="D128" t="s" s="8">
        <v>429</v>
      </c>
      <c r="E128" s="13"/>
      <c r="F128" t="s" s="8">
        <v>33</v>
      </c>
      <c r="G128" s="11"/>
      <c r="H128" s="12"/>
    </row>
    <row r="129" ht="26.6" customHeight="1">
      <c r="A129" t="s" s="8">
        <v>430</v>
      </c>
      <c r="B129" t="s" s="9">
        <v>424</v>
      </c>
      <c r="C129" t="s" s="8">
        <v>431</v>
      </c>
      <c r="D129" t="s" s="8">
        <v>432</v>
      </c>
      <c r="E129" s="13"/>
      <c r="F129" t="s" s="8">
        <v>24</v>
      </c>
      <c r="G129" s="11"/>
      <c r="H129" s="12"/>
    </row>
    <row r="130" ht="26.6" customHeight="1">
      <c r="A130" t="s" s="8">
        <v>433</v>
      </c>
      <c r="B130" t="s" s="9">
        <v>424</v>
      </c>
      <c r="C130" t="s" s="8">
        <v>434</v>
      </c>
      <c r="D130" t="s" s="8">
        <v>435</v>
      </c>
      <c r="E130" s="13"/>
      <c r="F130" t="s" s="8">
        <v>33</v>
      </c>
      <c r="G130" s="11"/>
      <c r="H130" s="12"/>
    </row>
    <row r="131" ht="26.6" customHeight="1">
      <c r="A131" t="s" s="8">
        <v>436</v>
      </c>
      <c r="B131" t="s" s="9">
        <v>424</v>
      </c>
      <c r="C131" t="s" s="8">
        <v>437</v>
      </c>
      <c r="D131" t="s" s="8">
        <v>438</v>
      </c>
      <c r="E131" s="13"/>
      <c r="F131" t="s" s="8">
        <v>33</v>
      </c>
      <c r="G131" s="11"/>
      <c r="H131" s="12"/>
    </row>
    <row r="132" ht="26.6" customHeight="1">
      <c r="A132" t="s" s="8">
        <v>439</v>
      </c>
      <c r="B132" t="s" s="9">
        <v>424</v>
      </c>
      <c r="C132" t="s" s="8">
        <v>440</v>
      </c>
      <c r="D132" t="s" s="8">
        <v>441</v>
      </c>
      <c r="E132" s="13"/>
      <c r="F132" t="s" s="8">
        <v>33</v>
      </c>
      <c r="G132" s="11"/>
      <c r="H132" s="12"/>
    </row>
    <row r="133" ht="26.6" customHeight="1">
      <c r="A133" t="s" s="8">
        <v>442</v>
      </c>
      <c r="B133" t="s" s="9">
        <v>424</v>
      </c>
      <c r="C133" t="s" s="8">
        <v>443</v>
      </c>
      <c r="D133" t="s" s="8">
        <v>444</v>
      </c>
      <c r="E133" s="13"/>
      <c r="F133" t="s" s="8">
        <v>58</v>
      </c>
      <c r="G133" s="11"/>
      <c r="H133" s="12"/>
    </row>
    <row r="134" ht="26.6" customHeight="1">
      <c r="A134" t="s" s="8">
        <v>445</v>
      </c>
      <c r="B134" t="s" s="9">
        <v>424</v>
      </c>
      <c r="C134" t="s" s="8">
        <v>446</v>
      </c>
      <c r="D134" t="s" s="8">
        <v>447</v>
      </c>
      <c r="E134" s="13"/>
      <c r="F134" t="s" s="8">
        <v>33</v>
      </c>
      <c r="G134" s="11"/>
      <c r="H134" s="12"/>
    </row>
    <row r="135" ht="14.6" customHeight="1">
      <c r="A135" t="s" s="8">
        <v>448</v>
      </c>
      <c r="B135" t="s" s="9">
        <v>449</v>
      </c>
      <c r="C135" t="s" s="8">
        <v>450</v>
      </c>
      <c r="D135" t="s" s="8">
        <v>451</v>
      </c>
      <c r="E135" s="13"/>
      <c r="F135" t="s" s="8">
        <v>33</v>
      </c>
      <c r="G135" s="11"/>
      <c r="H135" s="12"/>
    </row>
    <row r="136" ht="14.6" customHeight="1">
      <c r="A136" t="s" s="8">
        <v>452</v>
      </c>
      <c r="B136" t="s" s="9">
        <v>449</v>
      </c>
      <c r="C136" t="s" s="8">
        <v>453</v>
      </c>
      <c r="D136" t="s" s="8">
        <v>454</v>
      </c>
      <c r="E136" s="13"/>
      <c r="F136" t="s" s="8">
        <v>33</v>
      </c>
      <c r="G136" s="11"/>
      <c r="H136" s="12"/>
    </row>
    <row r="137" ht="14.6" customHeight="1">
      <c r="A137" t="s" s="8">
        <v>455</v>
      </c>
      <c r="B137" t="s" s="9">
        <v>449</v>
      </c>
      <c r="C137" t="s" s="8">
        <v>456</v>
      </c>
      <c r="D137" t="s" s="8">
        <v>457</v>
      </c>
      <c r="E137" s="13"/>
      <c r="F137" t="s" s="8">
        <v>24</v>
      </c>
      <c r="G137" s="11"/>
      <c r="H137" s="12"/>
    </row>
    <row r="138" ht="14.6" customHeight="1">
      <c r="A138" t="s" s="8">
        <v>458</v>
      </c>
      <c r="B138" t="s" s="9">
        <v>449</v>
      </c>
      <c r="C138" t="s" s="8">
        <v>459</v>
      </c>
      <c r="D138" t="s" s="8">
        <v>460</v>
      </c>
      <c r="E138" s="13"/>
      <c r="F138" t="s" s="8">
        <v>24</v>
      </c>
      <c r="G138" s="11"/>
      <c r="H138" s="12"/>
    </row>
    <row r="139" ht="14.6" customHeight="1">
      <c r="A139" t="s" s="8">
        <v>461</v>
      </c>
      <c r="B139" t="s" s="9">
        <v>449</v>
      </c>
      <c r="C139" t="s" s="8">
        <v>462</v>
      </c>
      <c r="D139" t="s" s="8">
        <v>463</v>
      </c>
      <c r="E139" s="13"/>
      <c r="F139" t="s" s="8">
        <v>33</v>
      </c>
      <c r="G139" s="11"/>
      <c r="H139" s="12"/>
    </row>
    <row r="140" ht="14.6" customHeight="1">
      <c r="A140" t="s" s="8">
        <v>464</v>
      </c>
      <c r="B140" t="s" s="9">
        <v>449</v>
      </c>
      <c r="C140" t="s" s="8">
        <v>465</v>
      </c>
      <c r="D140" t="s" s="8">
        <v>466</v>
      </c>
      <c r="E140" s="13"/>
      <c r="F140" t="s" s="8">
        <v>24</v>
      </c>
      <c r="G140" s="11"/>
      <c r="H140" s="12"/>
    </row>
    <row r="141" ht="14.6" customHeight="1">
      <c r="A141" t="s" s="8">
        <v>467</v>
      </c>
      <c r="B141" t="s" s="9">
        <v>449</v>
      </c>
      <c r="C141" t="s" s="8">
        <v>468</v>
      </c>
      <c r="D141" t="s" s="8">
        <v>469</v>
      </c>
      <c r="E141" s="13"/>
      <c r="F141" t="s" s="8">
        <v>58</v>
      </c>
      <c r="G141" s="11"/>
      <c r="H141" s="12"/>
    </row>
    <row r="142" ht="14.6" customHeight="1">
      <c r="A142" t="s" s="8">
        <v>470</v>
      </c>
      <c r="B142" t="s" s="9">
        <v>449</v>
      </c>
      <c r="C142" t="s" s="8">
        <v>471</v>
      </c>
      <c r="D142" t="s" s="8">
        <v>472</v>
      </c>
      <c r="E142" s="13"/>
      <c r="F142" t="s" s="8">
        <v>33</v>
      </c>
      <c r="G142" s="11"/>
      <c r="H142" s="12"/>
    </row>
    <row r="143" ht="14.6" customHeight="1">
      <c r="A143" t="s" s="8">
        <v>473</v>
      </c>
      <c r="B143" t="s" s="9">
        <v>449</v>
      </c>
      <c r="C143" t="s" s="8">
        <v>474</v>
      </c>
      <c r="D143" t="s" s="8">
        <v>475</v>
      </c>
      <c r="E143" s="13"/>
      <c r="F143" t="s" s="8">
        <v>58</v>
      </c>
      <c r="G143" s="11"/>
      <c r="H143" t="s" s="8">
        <v>116</v>
      </c>
    </row>
    <row r="144" ht="14.6" customHeight="1">
      <c r="A144" t="s" s="8">
        <v>476</v>
      </c>
      <c r="B144" t="s" s="9">
        <v>477</v>
      </c>
      <c r="C144" t="s" s="8">
        <v>478</v>
      </c>
      <c r="D144" t="s" s="8">
        <v>479</v>
      </c>
      <c r="E144" s="13"/>
      <c r="F144" t="s" s="8">
        <v>24</v>
      </c>
      <c r="G144" s="11"/>
      <c r="H144" s="12"/>
    </row>
    <row r="145" ht="14.6" customHeight="1">
      <c r="A145" t="s" s="8">
        <v>480</v>
      </c>
      <c r="B145" t="s" s="9">
        <v>477</v>
      </c>
      <c r="C145" t="s" s="8">
        <v>481</v>
      </c>
      <c r="D145" t="s" s="8">
        <v>482</v>
      </c>
      <c r="E145" s="13"/>
      <c r="F145" t="s" s="8">
        <v>33</v>
      </c>
      <c r="G145" s="11"/>
      <c r="H145" s="12"/>
    </row>
    <row r="146" ht="14.6" customHeight="1">
      <c r="A146" t="s" s="8">
        <v>483</v>
      </c>
      <c r="B146" t="s" s="9">
        <v>477</v>
      </c>
      <c r="C146" t="s" s="8">
        <v>484</v>
      </c>
      <c r="D146" t="s" s="8">
        <v>485</v>
      </c>
      <c r="E146" s="13"/>
      <c r="F146" t="s" s="8">
        <v>33</v>
      </c>
      <c r="G146" s="11"/>
      <c r="H146" s="12"/>
    </row>
    <row r="147" ht="14.6" customHeight="1">
      <c r="A147" t="s" s="8">
        <v>486</v>
      </c>
      <c r="B147" t="s" s="9">
        <v>477</v>
      </c>
      <c r="C147" t="s" s="8">
        <v>487</v>
      </c>
      <c r="D147" t="s" s="8">
        <v>488</v>
      </c>
      <c r="E147" s="13"/>
      <c r="F147" t="s" s="8">
        <v>33</v>
      </c>
      <c r="G147" s="11"/>
      <c r="H147" s="12"/>
    </row>
    <row r="148" ht="14.6" customHeight="1">
      <c r="A148" t="s" s="8">
        <v>489</v>
      </c>
      <c r="B148" t="s" s="9">
        <v>477</v>
      </c>
      <c r="C148" t="s" s="8">
        <v>490</v>
      </c>
      <c r="D148" t="s" s="8">
        <v>491</v>
      </c>
      <c r="E148" s="13"/>
      <c r="F148" t="s" s="8">
        <v>58</v>
      </c>
      <c r="G148" s="11"/>
      <c r="H148" s="12"/>
    </row>
    <row r="149" ht="14.6" customHeight="1">
      <c r="A149" t="s" s="8">
        <v>492</v>
      </c>
      <c r="B149" t="s" s="9">
        <v>477</v>
      </c>
      <c r="C149" t="s" s="8">
        <v>493</v>
      </c>
      <c r="D149" t="s" s="8">
        <v>494</v>
      </c>
      <c r="E149" s="13"/>
      <c r="F149" t="s" s="8">
        <v>24</v>
      </c>
      <c r="G149" s="11"/>
      <c r="H149" s="12"/>
    </row>
    <row r="150" ht="14.6" customHeight="1">
      <c r="A150" t="s" s="8">
        <v>495</v>
      </c>
      <c r="B150" t="s" s="9">
        <v>477</v>
      </c>
      <c r="C150" t="s" s="8">
        <v>496</v>
      </c>
      <c r="D150" t="s" s="8">
        <v>497</v>
      </c>
      <c r="E150" s="13"/>
      <c r="F150" t="s" s="8">
        <v>58</v>
      </c>
      <c r="G150" s="11"/>
      <c r="H150" s="12"/>
    </row>
    <row r="151" ht="14.6" customHeight="1">
      <c r="A151" t="s" s="8">
        <v>498</v>
      </c>
      <c r="B151" t="s" s="9">
        <v>477</v>
      </c>
      <c r="C151" t="s" s="8">
        <v>499</v>
      </c>
      <c r="D151" t="s" s="8">
        <v>500</v>
      </c>
      <c r="E151" s="13"/>
      <c r="F151" t="s" s="8">
        <v>24</v>
      </c>
      <c r="G151" s="11"/>
      <c r="H151" s="12"/>
    </row>
    <row r="152" ht="14.6" customHeight="1">
      <c r="A152" t="s" s="8">
        <v>501</v>
      </c>
      <c r="B152" t="s" s="9">
        <v>477</v>
      </c>
      <c r="C152" t="s" s="8">
        <v>502</v>
      </c>
      <c r="D152" t="s" s="8">
        <v>503</v>
      </c>
      <c r="E152" s="13"/>
      <c r="F152" t="s" s="8">
        <v>33</v>
      </c>
      <c r="G152" s="11"/>
      <c r="H152" s="12"/>
    </row>
    <row r="153" ht="14.6" customHeight="1">
      <c r="A153" t="s" s="8">
        <v>504</v>
      </c>
      <c r="B153" t="s" s="9">
        <v>477</v>
      </c>
      <c r="C153" t="s" s="8">
        <v>505</v>
      </c>
      <c r="D153" t="s" s="8">
        <v>506</v>
      </c>
      <c r="E153" s="13"/>
      <c r="F153" t="s" s="8">
        <v>33</v>
      </c>
      <c r="G153" s="11"/>
      <c r="H153" s="12"/>
    </row>
    <row r="154" ht="14.6" customHeight="1">
      <c r="A154" t="s" s="8">
        <v>507</v>
      </c>
      <c r="B154" t="s" s="9">
        <v>477</v>
      </c>
      <c r="C154" t="s" s="8">
        <v>508</v>
      </c>
      <c r="D154" t="s" s="8">
        <v>509</v>
      </c>
      <c r="E154" s="13"/>
      <c r="F154" t="s" s="8">
        <v>33</v>
      </c>
      <c r="G154" s="11"/>
      <c r="H154" s="12"/>
    </row>
    <row r="155" ht="14.6" customHeight="1">
      <c r="A155" t="s" s="8">
        <v>510</v>
      </c>
      <c r="B155" t="s" s="9">
        <v>477</v>
      </c>
      <c r="C155" t="s" s="8">
        <v>511</v>
      </c>
      <c r="D155" t="s" s="8">
        <v>512</v>
      </c>
      <c r="E155" s="13"/>
      <c r="F155" t="s" s="8">
        <v>58</v>
      </c>
      <c r="G155" s="11"/>
      <c r="H155" s="12"/>
    </row>
    <row r="156" ht="14.6" customHeight="1">
      <c r="A156" t="s" s="8">
        <v>513</v>
      </c>
      <c r="B156" t="s" s="9">
        <v>477</v>
      </c>
      <c r="C156" t="s" s="8">
        <v>514</v>
      </c>
      <c r="D156" t="s" s="8">
        <v>515</v>
      </c>
      <c r="E156" s="13"/>
      <c r="F156" t="s" s="8">
        <v>58</v>
      </c>
      <c r="G156" s="11"/>
      <c r="H156" s="12"/>
    </row>
    <row r="157" ht="14.6" customHeight="1">
      <c r="A157" t="s" s="8">
        <v>516</v>
      </c>
      <c r="B157" t="s" s="9">
        <v>517</v>
      </c>
      <c r="C157" t="s" s="8">
        <v>518</v>
      </c>
      <c r="D157" t="s" s="8">
        <v>519</v>
      </c>
      <c r="E157" s="13"/>
      <c r="F157" t="s" s="8">
        <v>24</v>
      </c>
      <c r="G157" s="11"/>
      <c r="H157" s="12"/>
    </row>
    <row r="158" ht="14.6" customHeight="1">
      <c r="A158" t="s" s="8">
        <v>520</v>
      </c>
      <c r="B158" t="s" s="9">
        <v>517</v>
      </c>
      <c r="C158" t="s" s="8">
        <v>521</v>
      </c>
      <c r="D158" t="s" s="8">
        <v>522</v>
      </c>
      <c r="E158" s="13"/>
      <c r="F158" t="s" s="8">
        <v>33</v>
      </c>
      <c r="G158" s="11"/>
      <c r="H158" s="12"/>
    </row>
    <row r="159" ht="14.6" customHeight="1">
      <c r="A159" t="s" s="8">
        <v>523</v>
      </c>
      <c r="B159" t="s" s="9">
        <v>517</v>
      </c>
      <c r="C159" t="s" s="8">
        <v>524</v>
      </c>
      <c r="D159" t="s" s="8">
        <v>525</v>
      </c>
      <c r="E159" s="13"/>
      <c r="F159" t="s" s="8">
        <v>33</v>
      </c>
      <c r="G159" s="11"/>
      <c r="H159" s="12"/>
    </row>
    <row r="160" ht="14.6" customHeight="1">
      <c r="A160" t="s" s="8">
        <v>526</v>
      </c>
      <c r="B160" t="s" s="9">
        <v>517</v>
      </c>
      <c r="C160" t="s" s="8">
        <v>527</v>
      </c>
      <c r="D160" t="s" s="8">
        <v>528</v>
      </c>
      <c r="E160" s="13"/>
      <c r="F160" t="s" s="8">
        <v>58</v>
      </c>
      <c r="G160" s="11"/>
      <c r="H160" s="12"/>
    </row>
    <row r="161" ht="14.6" customHeight="1">
      <c r="A161" t="s" s="8">
        <v>529</v>
      </c>
      <c r="B161" t="s" s="9">
        <v>517</v>
      </c>
      <c r="C161" t="s" s="8">
        <v>530</v>
      </c>
      <c r="D161" t="s" s="8">
        <v>531</v>
      </c>
      <c r="E161" s="13"/>
      <c r="F161" t="s" s="8">
        <v>24</v>
      </c>
      <c r="G161" s="11"/>
      <c r="H161" s="12"/>
    </row>
    <row r="162" ht="14.6" customHeight="1">
      <c r="A162" t="s" s="8">
        <v>532</v>
      </c>
      <c r="B162" t="s" s="9">
        <v>517</v>
      </c>
      <c r="C162" t="s" s="8">
        <v>533</v>
      </c>
      <c r="D162" t="s" s="8">
        <v>534</v>
      </c>
      <c r="E162" s="13"/>
      <c r="F162" t="s" s="8">
        <v>33</v>
      </c>
      <c r="G162" s="11"/>
      <c r="H162" s="12"/>
    </row>
    <row r="163" ht="14.6" customHeight="1">
      <c r="A163" t="s" s="8">
        <v>535</v>
      </c>
      <c r="B163" t="s" s="9">
        <v>517</v>
      </c>
      <c r="C163" t="s" s="8">
        <v>536</v>
      </c>
      <c r="D163" t="s" s="8">
        <v>537</v>
      </c>
      <c r="E163" s="13"/>
      <c r="F163" t="s" s="8">
        <v>58</v>
      </c>
      <c r="G163" s="11"/>
      <c r="H163" s="12"/>
    </row>
    <row r="164" ht="14.6" customHeight="1">
      <c r="A164" t="s" s="8">
        <v>538</v>
      </c>
      <c r="B164" t="s" s="9">
        <v>517</v>
      </c>
      <c r="C164" t="s" s="8">
        <v>539</v>
      </c>
      <c r="D164" t="s" s="8">
        <v>540</v>
      </c>
      <c r="E164" s="13"/>
      <c r="F164" t="s" s="8">
        <v>33</v>
      </c>
      <c r="G164" s="11"/>
      <c r="H164" s="12"/>
    </row>
    <row r="165" ht="14.6" customHeight="1">
      <c r="A165" t="s" s="8">
        <v>541</v>
      </c>
      <c r="B165" t="s" s="9">
        <v>517</v>
      </c>
      <c r="C165" t="s" s="8">
        <v>542</v>
      </c>
      <c r="D165" t="s" s="8">
        <v>543</v>
      </c>
      <c r="E165" s="13"/>
      <c r="F165" t="s" s="8">
        <v>33</v>
      </c>
      <c r="G165" s="11"/>
      <c r="H165" s="12"/>
    </row>
    <row r="166" ht="26.6" customHeight="1">
      <c r="A166" t="s" s="8">
        <v>544</v>
      </c>
      <c r="B166" t="s" s="9">
        <v>545</v>
      </c>
      <c r="C166" t="s" s="8">
        <v>546</v>
      </c>
      <c r="D166" t="s" s="8">
        <v>547</v>
      </c>
      <c r="E166" s="13"/>
      <c r="F166" t="s" s="8">
        <v>33</v>
      </c>
      <c r="G166" s="11"/>
      <c r="H166" s="12"/>
    </row>
    <row r="167" ht="26.6" customHeight="1">
      <c r="A167" t="s" s="8">
        <v>548</v>
      </c>
      <c r="B167" t="s" s="9">
        <v>545</v>
      </c>
      <c r="C167" t="s" s="8">
        <v>549</v>
      </c>
      <c r="D167" t="s" s="8">
        <v>550</v>
      </c>
      <c r="E167" s="13"/>
      <c r="F167" t="s" s="8">
        <v>33</v>
      </c>
      <c r="G167" s="11"/>
      <c r="H167" s="12"/>
    </row>
    <row r="168" ht="26.6" customHeight="1">
      <c r="A168" t="s" s="8">
        <v>551</v>
      </c>
      <c r="B168" t="s" s="9">
        <v>545</v>
      </c>
      <c r="C168" t="s" s="8">
        <v>552</v>
      </c>
      <c r="D168" t="s" s="8">
        <v>553</v>
      </c>
      <c r="E168" s="13"/>
      <c r="F168" t="s" s="8">
        <v>33</v>
      </c>
      <c r="G168" s="11"/>
      <c r="H168" s="12"/>
    </row>
    <row r="169" ht="26.6" customHeight="1">
      <c r="A169" t="s" s="8">
        <v>554</v>
      </c>
      <c r="B169" t="s" s="9">
        <v>545</v>
      </c>
      <c r="C169" t="s" s="8">
        <v>555</v>
      </c>
      <c r="D169" t="s" s="8">
        <v>556</v>
      </c>
      <c r="E169" s="13"/>
      <c r="F169" t="s" s="8">
        <v>58</v>
      </c>
      <c r="G169" s="11"/>
      <c r="H169" s="12"/>
    </row>
    <row r="170" ht="26.6" customHeight="1">
      <c r="A170" t="s" s="8">
        <v>557</v>
      </c>
      <c r="B170" t="s" s="9">
        <v>545</v>
      </c>
      <c r="C170" t="s" s="8">
        <v>558</v>
      </c>
      <c r="D170" t="s" s="8">
        <v>559</v>
      </c>
      <c r="E170" s="13"/>
      <c r="F170" t="s" s="8">
        <v>33</v>
      </c>
      <c r="G170" s="11"/>
      <c r="H170" s="12"/>
    </row>
    <row r="171" ht="26.6" customHeight="1">
      <c r="A171" t="s" s="8">
        <v>560</v>
      </c>
      <c r="B171" t="s" s="9">
        <v>545</v>
      </c>
      <c r="C171" t="s" s="8">
        <v>561</v>
      </c>
      <c r="D171" t="s" s="8">
        <v>562</v>
      </c>
      <c r="E171" s="13"/>
      <c r="F171" t="s" s="8">
        <v>58</v>
      </c>
      <c r="G171" s="11"/>
      <c r="H171" s="12"/>
    </row>
    <row r="172" ht="14.6" customHeight="1">
      <c r="A172" t="s" s="8">
        <v>563</v>
      </c>
      <c r="B172" t="s" s="9">
        <v>564</v>
      </c>
      <c r="C172" t="s" s="8">
        <v>565</v>
      </c>
      <c r="D172" t="s" s="8">
        <v>566</v>
      </c>
      <c r="E172" s="13"/>
      <c r="F172" t="s" s="8">
        <v>24</v>
      </c>
      <c r="G172" s="11"/>
      <c r="H172" s="12"/>
    </row>
    <row r="173" ht="14.6" customHeight="1">
      <c r="A173" t="s" s="8">
        <v>567</v>
      </c>
      <c r="B173" t="s" s="9">
        <v>564</v>
      </c>
      <c r="C173" t="s" s="8">
        <v>568</v>
      </c>
      <c r="D173" t="s" s="8">
        <v>569</v>
      </c>
      <c r="E173" s="13"/>
      <c r="F173" t="s" s="8">
        <v>24</v>
      </c>
      <c r="G173" s="11"/>
      <c r="H173" s="12"/>
    </row>
    <row r="174" ht="14.6" customHeight="1">
      <c r="A174" t="s" s="8">
        <v>570</v>
      </c>
      <c r="B174" t="s" s="9">
        <v>564</v>
      </c>
      <c r="C174" t="s" s="8">
        <v>571</v>
      </c>
      <c r="D174" t="s" s="8">
        <v>572</v>
      </c>
      <c r="E174" s="13"/>
      <c r="F174" t="s" s="8">
        <v>24</v>
      </c>
      <c r="G174" s="11"/>
      <c r="H174" s="12"/>
    </row>
    <row r="175" ht="14.6" customHeight="1">
      <c r="A175" t="s" s="8">
        <v>573</v>
      </c>
      <c r="B175" t="s" s="9">
        <v>564</v>
      </c>
      <c r="C175" t="s" s="8">
        <v>574</v>
      </c>
      <c r="D175" t="s" s="8">
        <v>575</v>
      </c>
      <c r="E175" s="13"/>
      <c r="F175" t="s" s="8">
        <v>33</v>
      </c>
      <c r="G175" s="11"/>
      <c r="H175" s="12"/>
    </row>
    <row r="176" ht="14.6" customHeight="1">
      <c r="A176" t="s" s="8">
        <v>576</v>
      </c>
      <c r="B176" t="s" s="9">
        <v>564</v>
      </c>
      <c r="C176" t="s" s="8">
        <v>577</v>
      </c>
      <c r="D176" t="s" s="8">
        <v>578</v>
      </c>
      <c r="E176" s="13"/>
      <c r="F176" t="s" s="8">
        <v>24</v>
      </c>
      <c r="G176" s="11"/>
      <c r="H176" s="12"/>
    </row>
    <row r="177" ht="14.6" customHeight="1">
      <c r="A177" t="s" s="8">
        <v>579</v>
      </c>
      <c r="B177" t="s" s="9">
        <v>564</v>
      </c>
      <c r="C177" t="s" s="8">
        <v>580</v>
      </c>
      <c r="D177" t="s" s="8">
        <v>581</v>
      </c>
      <c r="E177" s="13"/>
      <c r="F177" t="s" s="8">
        <v>24</v>
      </c>
      <c r="G177" s="11"/>
      <c r="H177" s="12"/>
    </row>
    <row r="178" ht="14.6" customHeight="1">
      <c r="A178" t="s" s="8">
        <v>582</v>
      </c>
      <c r="B178" t="s" s="9">
        <v>564</v>
      </c>
      <c r="C178" t="s" s="8">
        <v>583</v>
      </c>
      <c r="D178" t="s" s="8">
        <v>584</v>
      </c>
      <c r="E178" s="13"/>
      <c r="F178" t="s" s="8">
        <v>33</v>
      </c>
      <c r="G178" s="11"/>
      <c r="H178" s="12"/>
    </row>
    <row r="179" ht="14.6" customHeight="1">
      <c r="A179" t="s" s="8">
        <v>585</v>
      </c>
      <c r="B179" t="s" s="9">
        <v>564</v>
      </c>
      <c r="C179" t="s" s="8">
        <v>586</v>
      </c>
      <c r="D179" t="s" s="8">
        <v>587</v>
      </c>
      <c r="E179" s="13"/>
      <c r="F179" t="s" s="8">
        <v>58</v>
      </c>
      <c r="G179" s="11"/>
      <c r="H179" t="s" s="8">
        <v>116</v>
      </c>
    </row>
    <row r="180" ht="14.6" customHeight="1">
      <c r="A180" t="s" s="8">
        <v>588</v>
      </c>
      <c r="B180" t="s" s="9">
        <v>564</v>
      </c>
      <c r="C180" t="s" s="8">
        <v>589</v>
      </c>
      <c r="D180" t="s" s="8">
        <v>590</v>
      </c>
      <c r="E180" s="13"/>
      <c r="F180" t="s" s="8">
        <v>58</v>
      </c>
      <c r="G180" s="11"/>
      <c r="H180" t="s" s="8">
        <v>116</v>
      </c>
    </row>
    <row r="181" ht="14.6" customHeight="1">
      <c r="A181" t="s" s="8">
        <v>591</v>
      </c>
      <c r="B181" t="s" s="9">
        <v>564</v>
      </c>
      <c r="C181" t="s" s="8">
        <v>592</v>
      </c>
      <c r="D181" t="s" s="8">
        <v>593</v>
      </c>
      <c r="E181" s="13"/>
      <c r="F181" t="s" s="8">
        <v>58</v>
      </c>
      <c r="G181" s="11"/>
      <c r="H181" t="s" s="8">
        <v>116</v>
      </c>
    </row>
    <row r="182" ht="14.6" customHeight="1">
      <c r="A182" t="s" s="8">
        <v>594</v>
      </c>
      <c r="B182" t="s" s="9">
        <v>595</v>
      </c>
      <c r="C182" t="s" s="8">
        <v>596</v>
      </c>
      <c r="D182" t="s" s="8">
        <v>597</v>
      </c>
      <c r="E182" s="13"/>
      <c r="F182" t="s" s="8">
        <v>58</v>
      </c>
      <c r="G182" s="11"/>
      <c r="H182" t="s" s="8">
        <v>598</v>
      </c>
    </row>
    <row r="183" ht="14.6" customHeight="1">
      <c r="A183" t="s" s="8">
        <v>599</v>
      </c>
      <c r="B183" t="s" s="9">
        <v>595</v>
      </c>
      <c r="C183" t="s" s="8">
        <v>600</v>
      </c>
      <c r="D183" t="s" s="8">
        <v>601</v>
      </c>
      <c r="E183" s="13"/>
      <c r="F183" t="s" s="8">
        <v>58</v>
      </c>
      <c r="G183" s="11"/>
      <c r="H183" t="s" s="8">
        <v>598</v>
      </c>
    </row>
    <row r="184" ht="14.6" customHeight="1">
      <c r="A184" t="s" s="8">
        <v>602</v>
      </c>
      <c r="B184" t="s" s="9">
        <v>595</v>
      </c>
      <c r="C184" t="s" s="8">
        <v>603</v>
      </c>
      <c r="D184" t="s" s="8">
        <v>604</v>
      </c>
      <c r="E184" s="13"/>
      <c r="F184" t="s" s="8">
        <v>58</v>
      </c>
      <c r="G184" s="11"/>
      <c r="H184" t="s" s="8">
        <v>598</v>
      </c>
    </row>
    <row r="185" ht="14.6" customHeight="1">
      <c r="A185" t="s" s="8">
        <v>605</v>
      </c>
      <c r="B185" t="s" s="9">
        <v>595</v>
      </c>
      <c r="C185" t="s" s="8">
        <v>606</v>
      </c>
      <c r="D185" t="s" s="8">
        <v>607</v>
      </c>
      <c r="E185" s="13"/>
      <c r="F185" t="s" s="8">
        <v>58</v>
      </c>
      <c r="G185" s="11"/>
      <c r="H185" t="s" s="8">
        <v>598</v>
      </c>
    </row>
    <row r="186" ht="26.6" customHeight="1">
      <c r="A186" t="s" s="8">
        <v>608</v>
      </c>
      <c r="B186" t="s" s="9">
        <v>595</v>
      </c>
      <c r="C186" t="s" s="8">
        <v>609</v>
      </c>
      <c r="D186" t="s" s="8">
        <v>610</v>
      </c>
      <c r="E186" s="13"/>
      <c r="F186" t="s" s="8">
        <v>58</v>
      </c>
      <c r="G186" s="11"/>
      <c r="H186" t="s" s="8">
        <v>598</v>
      </c>
    </row>
  </sheetData>
  <conditionalFormatting sqref="E2:F186">
    <cfRule type="cellIs" dxfId="0" priority="1" operator="equal" stopIfTrue="1">
      <formula>"MVP"</formula>
    </cfRule>
    <cfRule type="cellIs" dxfId="1" priority="2" operator="equal" stopIfTrue="1">
      <formula>"Good to have"</formula>
    </cfRule>
    <cfRule type="cellIs" dxfId="2" priority="3" operator="equal" stopIfTrue="1">
      <formula>"Future improvement"</formula>
    </cfRule>
  </conditionalFormatting>
  <dataValidations count="1">
    <dataValidation type="list" allowBlank="1" showInputMessage="1" showErrorMessage="1" sqref="E2:E186">
      <formula1>"MVP,Good to have,Future improvement"</formula1>
    </dataValidation>
  </dataValidations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  <drawing r:id="rId1"/>
  <legacyDrawing r:id="rId2"/>
</worksheet>
</file>

<file path=xl/worksheets/sheet3.xml><?xml version="1.0" encoding="utf-8"?>
<worksheet xmlns:r="http://schemas.openxmlformats.org/officeDocument/2006/relationships" xmlns="http://schemas.openxmlformats.org/spreadsheetml/2006/main">
  <dimension ref="A1:F22"/>
  <sheetViews>
    <sheetView workbookViewId="0" showGridLines="0" defaultGridColor="1"/>
  </sheetViews>
  <sheetFormatPr defaultColWidth="8.66667" defaultRowHeight="15" customHeight="1" outlineLevelRow="0" outlineLevelCol="0"/>
  <cols>
    <col min="1" max="1" width="26" style="14" customWidth="1"/>
    <col min="2" max="6" width="14" style="14" customWidth="1"/>
    <col min="7" max="16384" width="8.67188" style="14" customWidth="1"/>
  </cols>
  <sheetData>
    <row r="1" ht="14.6" customHeight="1">
      <c r="A1" t="s" s="15">
        <v>13</v>
      </c>
      <c r="B1" t="s" s="15">
        <v>24</v>
      </c>
      <c r="C1" t="s" s="15">
        <v>33</v>
      </c>
      <c r="D1" t="s" s="15">
        <v>58</v>
      </c>
      <c r="E1" t="s" s="15">
        <v>611</v>
      </c>
      <c r="F1" t="s" s="15">
        <v>612</v>
      </c>
    </row>
    <row r="2" ht="14.6" customHeight="1">
      <c r="A2" t="s" s="16">
        <v>21</v>
      </c>
      <c r="B2" s="17" cm="1">
        <f t="array" ref="B2">_xlfn.COUNTIFS('Priorities'!$B$2:$B$186,$A2,'Priorities'!$E$2:$E$186,"MVP")</f>
        <v>5</v>
      </c>
      <c r="C2" s="17" cm="1">
        <f t="array" ref="C2">_xlfn.COUNTIFS('Priorities'!$B$2:$B$186,$A2,'Priorities'!$E$2:$E$186,"Good to have")</f>
        <v>2</v>
      </c>
      <c r="D2" s="17" cm="1">
        <f t="array" ref="D2">_xlfn.COUNTIFS('Priorities'!$B$2:$B$186,$A2,'Priorities'!$E$2:$E$186,"Future improvement")</f>
        <v>0</v>
      </c>
      <c r="E2" s="17" cm="1">
        <f t="array" ref="E2">F2-B2-C2-D2</f>
        <v>0</v>
      </c>
      <c r="F2" s="17" cm="1">
        <f t="array" ref="F2">COUNTIF('Priorities'!$B$2:$B$186,$A2)</f>
        <v>7</v>
      </c>
    </row>
    <row r="3" ht="14.6" customHeight="1">
      <c r="A3" t="s" s="16">
        <v>52</v>
      </c>
      <c r="B3" s="17" cm="1">
        <f t="array" ref="B3">_xlfn.COUNTIFS('Priorities'!$B$2:$B$186,$A3,'Priorities'!$E$2:$E$186,"MVP")</f>
        <v>5</v>
      </c>
      <c r="C3" s="17" cm="1">
        <f t="array" ref="C3">_xlfn.COUNTIFS('Priorities'!$B$2:$B$186,$A3,'Priorities'!$E$2:$E$186,"Good to have")</f>
        <v>1</v>
      </c>
      <c r="D3" s="17" cm="1">
        <f t="array" ref="D3">_xlfn.COUNTIFS('Priorities'!$B$2:$B$186,$A3,'Priorities'!$E$2:$E$186,"Future improvement")</f>
        <v>2</v>
      </c>
      <c r="E3" s="17" cm="1">
        <f t="array" ref="E3">F3-B3-C3-D3</f>
        <v>0</v>
      </c>
      <c r="F3" s="17" cm="1">
        <f t="array" ref="F3">COUNTIF('Priorities'!$B$2:$B$186,$A3)</f>
        <v>8</v>
      </c>
    </row>
    <row r="4" ht="14.6" customHeight="1">
      <c r="A4" t="s" s="16">
        <v>78</v>
      </c>
      <c r="B4" s="17" cm="1">
        <f t="array" ref="B4">_xlfn.COUNTIFS('Priorities'!$B$2:$B$186,$A4,'Priorities'!$E$2:$E$186,"MVP")</f>
        <v>4</v>
      </c>
      <c r="C4" s="17" cm="1">
        <f t="array" ref="C4">_xlfn.COUNTIFS('Priorities'!$B$2:$B$186,$A4,'Priorities'!$E$2:$E$186,"Good to have")</f>
        <v>4</v>
      </c>
      <c r="D4" s="17" cm="1">
        <f t="array" ref="D4">_xlfn.COUNTIFS('Priorities'!$B$2:$B$186,$A4,'Priorities'!$E$2:$E$186,"Future improvement")</f>
        <v>4</v>
      </c>
      <c r="E4" s="17" cm="1">
        <f t="array" ref="E4">F4-B4-C4-D4</f>
        <v>0</v>
      </c>
      <c r="F4" s="17" cm="1">
        <f t="array" ref="F4">COUNTIF('Priorities'!$B$2:$B$186,$A4)</f>
        <v>12</v>
      </c>
    </row>
    <row r="5" ht="14.6" customHeight="1">
      <c r="A5" t="s" s="16">
        <v>118</v>
      </c>
      <c r="B5" s="17" cm="1">
        <f t="array" ref="B5">_xlfn.COUNTIFS('Priorities'!$B$2:$B$186,$A5,'Priorities'!$E$2:$E$186,"MVP")</f>
        <v>1</v>
      </c>
      <c r="C5" s="17" cm="1">
        <f t="array" ref="C5">_xlfn.COUNTIFS('Priorities'!$B$2:$B$186,$A5,'Priorities'!$E$2:$E$186,"Good to have")</f>
        <v>4</v>
      </c>
      <c r="D5" s="17" cm="1">
        <f t="array" ref="D5">_xlfn.COUNTIFS('Priorities'!$B$2:$B$186,$A5,'Priorities'!$E$2:$E$186,"Future improvement")</f>
        <v>1</v>
      </c>
      <c r="E5" s="17" cm="1">
        <f t="array" ref="E5">F5-B5-C5-D5</f>
        <v>0</v>
      </c>
      <c r="F5" s="17" cm="1">
        <f t="array" ref="F5">COUNTIF('Priorities'!$B$2:$B$186,$A5)</f>
        <v>6</v>
      </c>
    </row>
    <row r="6" ht="14.6" customHeight="1">
      <c r="A6" t="s" s="16">
        <v>137</v>
      </c>
      <c r="B6" s="17" cm="1">
        <f t="array" ref="B6">_xlfn.COUNTIFS('Priorities'!$B$2:$B$186,$A6,'Priorities'!$E$2:$E$186,"MVP")</f>
        <v>4</v>
      </c>
      <c r="C6" s="17" cm="1">
        <f t="array" ref="C6">_xlfn.COUNTIFS('Priorities'!$B$2:$B$186,$A6,'Priorities'!$E$2:$E$186,"Good to have")</f>
        <v>4</v>
      </c>
      <c r="D6" s="17" cm="1">
        <f t="array" ref="D6">_xlfn.COUNTIFS('Priorities'!$B$2:$B$186,$A6,'Priorities'!$E$2:$E$186,"Future improvement")</f>
        <v>2</v>
      </c>
      <c r="E6" s="17" cm="1">
        <f t="array" ref="E6">F6-B6-C6-D6</f>
        <v>0</v>
      </c>
      <c r="F6" s="17" cm="1">
        <f t="array" ref="F6">COUNTIF('Priorities'!$B$2:$B$186,$A6)</f>
        <v>10</v>
      </c>
    </row>
    <row r="7" ht="14.6" customHeight="1">
      <c r="A7" t="s" s="16">
        <v>169</v>
      </c>
      <c r="B7" s="17" cm="1">
        <f t="array" ref="B7">_xlfn.COUNTIFS('Priorities'!$B$2:$B$186,$A7,'Priorities'!$E$2:$E$186,"MVP")</f>
        <v>3</v>
      </c>
      <c r="C7" s="17" cm="1">
        <f t="array" ref="C7">_xlfn.COUNTIFS('Priorities'!$B$2:$B$186,$A7,'Priorities'!$E$2:$E$186,"Good to have")</f>
        <v>1</v>
      </c>
      <c r="D7" s="17" cm="1">
        <f t="array" ref="D7">_xlfn.COUNTIFS('Priorities'!$B$2:$B$186,$A7,'Priorities'!$E$2:$E$186,"Future improvement")</f>
        <v>1</v>
      </c>
      <c r="E7" s="17" cm="1">
        <f t="array" ref="E7">F7-B7-C7-D7</f>
        <v>0</v>
      </c>
      <c r="F7" s="17" cm="1">
        <f t="array" ref="F7">COUNTIF('Priorities'!$B$2:$B$186,$A7)</f>
        <v>5</v>
      </c>
    </row>
    <row r="8" ht="14.6" customHeight="1">
      <c r="A8" t="s" s="16">
        <v>185</v>
      </c>
      <c r="B8" s="17" cm="1">
        <f t="array" ref="B8">_xlfn.COUNTIFS('Priorities'!$B$2:$B$186,$A8,'Priorities'!$E$2:$E$186,"MVP")</f>
        <v>4</v>
      </c>
      <c r="C8" s="17" cm="1">
        <f t="array" ref="C8">_xlfn.COUNTIFS('Priorities'!$B$2:$B$186,$A8,'Priorities'!$E$2:$E$186,"Good to have")</f>
        <v>5</v>
      </c>
      <c r="D8" s="17" cm="1">
        <f t="array" ref="D8">_xlfn.COUNTIFS('Priorities'!$B$2:$B$186,$A8,'Priorities'!$E$2:$E$186,"Future improvement")</f>
        <v>5</v>
      </c>
      <c r="E8" s="17" cm="1">
        <f t="array" ref="E8">F8-B8-C8-D8</f>
        <v>0</v>
      </c>
      <c r="F8" s="17" cm="1">
        <f t="array" ref="F8">COUNTIF('Priorities'!$B$2:$B$186,$A8)</f>
        <v>14</v>
      </c>
    </row>
    <row r="9" ht="14.6" customHeight="1">
      <c r="A9" t="s" s="16">
        <v>228</v>
      </c>
      <c r="B9" s="17" cm="1">
        <f t="array" ref="B9">_xlfn.COUNTIFS('Priorities'!$B$2:$B$186,$A9,'Priorities'!$E$2:$E$186,"MVP")</f>
        <v>5</v>
      </c>
      <c r="C9" s="17" cm="1">
        <f t="array" ref="C9">_xlfn.COUNTIFS('Priorities'!$B$2:$B$186,$A9,'Priorities'!$E$2:$E$186,"Good to have")</f>
        <v>3</v>
      </c>
      <c r="D9" s="17" cm="1">
        <f t="array" ref="D9">_xlfn.COUNTIFS('Priorities'!$B$2:$B$186,$A9,'Priorities'!$E$2:$E$186,"Future improvement")</f>
        <v>4</v>
      </c>
      <c r="E9" s="17" cm="1">
        <f t="array" ref="E9">F9-B9-C9-D9</f>
        <v>0</v>
      </c>
      <c r="F9" s="17" cm="1">
        <f t="array" ref="F9">COUNTIF('Priorities'!$B$2:$B$186,$A9)</f>
        <v>12</v>
      </c>
    </row>
    <row r="10" ht="14.6" customHeight="1">
      <c r="A10" t="s" s="16">
        <v>265</v>
      </c>
      <c r="B10" s="17" cm="1">
        <f t="array" ref="B10">_xlfn.COUNTIFS('Priorities'!$B$2:$B$186,$A10,'Priorities'!$E$2:$E$186,"MVP")</f>
        <v>7</v>
      </c>
      <c r="C10" s="17" cm="1">
        <f t="array" ref="C10">_xlfn.COUNTIFS('Priorities'!$B$2:$B$186,$A10,'Priorities'!$E$2:$E$186,"Good to have")</f>
        <v>4</v>
      </c>
      <c r="D10" s="17" cm="1">
        <f t="array" ref="D10">_xlfn.COUNTIFS('Priorities'!$B$2:$B$186,$A10,'Priorities'!$E$2:$E$186,"Future improvement")</f>
        <v>2</v>
      </c>
      <c r="E10" s="17" cm="1">
        <f t="array" ref="E10">F10-B10-C10-D10</f>
        <v>0</v>
      </c>
      <c r="F10" s="17" cm="1">
        <f t="array" ref="F10">COUNTIF('Priorities'!$B$2:$B$186,$A10)</f>
        <v>13</v>
      </c>
    </row>
    <row r="11" ht="14.6" customHeight="1">
      <c r="A11" t="s" s="16">
        <v>305</v>
      </c>
      <c r="B11" s="17" cm="1">
        <f t="array" ref="B11">_xlfn.COUNTIFS('Priorities'!$B$2:$B$186,$A11,'Priorities'!$E$2:$E$186,"MVP")</f>
        <v>4</v>
      </c>
      <c r="C11" s="17" cm="1">
        <f t="array" ref="C11">_xlfn.COUNTIFS('Priorities'!$B$2:$B$186,$A11,'Priorities'!$E$2:$E$186,"Good to have")</f>
        <v>5</v>
      </c>
      <c r="D11" s="17" cm="1">
        <f t="array" ref="D11">_xlfn.COUNTIFS('Priorities'!$B$2:$B$186,$A11,'Priorities'!$E$2:$E$186,"Future improvement")</f>
        <v>0</v>
      </c>
      <c r="E11" s="17" cm="1">
        <f t="array" ref="E11">F11-B11-C11-D11</f>
        <v>0</v>
      </c>
      <c r="F11" s="17" cm="1">
        <f t="array" ref="F11">COUNTIF('Priorities'!$B$2:$B$186,$A11)</f>
        <v>9</v>
      </c>
    </row>
    <row r="12" ht="14.6" customHeight="1">
      <c r="A12" t="s" s="16">
        <v>334</v>
      </c>
      <c r="B12" s="17" cm="1">
        <f t="array" ref="B12">_xlfn.COUNTIFS('Priorities'!$B$2:$B$186,$A12,'Priorities'!$E$2:$E$186,"MVP")</f>
        <v>7</v>
      </c>
      <c r="C12" s="17" cm="1">
        <f t="array" ref="C12">_xlfn.COUNTIFS('Priorities'!$B$2:$B$186,$A12,'Priorities'!$E$2:$E$186,"Good to have")</f>
        <v>1</v>
      </c>
      <c r="D12" s="17" cm="1">
        <f t="array" ref="D12">_xlfn.COUNTIFS('Priorities'!$B$2:$B$186,$A12,'Priorities'!$E$2:$E$186,"Future improvement")</f>
        <v>3</v>
      </c>
      <c r="E12" s="17" cm="1">
        <f t="array" ref="E12">F12-B12-C12-D12</f>
        <v>0</v>
      </c>
      <c r="F12" s="17" cm="1">
        <f t="array" ref="F12">COUNTIF('Priorities'!$B$2:$B$186,$A12)</f>
        <v>11</v>
      </c>
    </row>
    <row r="13" ht="14.6" customHeight="1">
      <c r="A13" t="s" s="16">
        <v>368</v>
      </c>
      <c r="B13" s="17" cm="1">
        <f t="array" ref="B13">_xlfn.COUNTIFS('Priorities'!$B$2:$B$186,$A13,'Priorities'!$E$2:$E$186,"MVP")</f>
        <v>2</v>
      </c>
      <c r="C13" s="17" cm="1">
        <f t="array" ref="C13">_xlfn.COUNTIFS('Priorities'!$B$2:$B$186,$A13,'Priorities'!$E$2:$E$186,"Good to have")</f>
        <v>1</v>
      </c>
      <c r="D13" s="17" cm="1">
        <f t="array" ref="D13">_xlfn.COUNTIFS('Priorities'!$B$2:$B$186,$A13,'Priorities'!$E$2:$E$186,"Future improvement")</f>
        <v>0</v>
      </c>
      <c r="E13" s="17" cm="1">
        <f t="array" ref="E13">F13-B13-C13-D13</f>
        <v>7</v>
      </c>
      <c r="F13" s="17" cm="1">
        <f t="array" ref="F13">COUNTIF('Priorities'!$B$2:$B$186,$A13)</f>
        <v>10</v>
      </c>
    </row>
    <row r="14" ht="14.6" customHeight="1">
      <c r="A14" t="s" s="16">
        <v>399</v>
      </c>
      <c r="B14" s="17" cm="1">
        <f t="array" ref="B14">_xlfn.COUNTIFS('Priorities'!$B$2:$B$186,$A14,'Priorities'!$E$2:$E$186,"MVP")</f>
        <v>0</v>
      </c>
      <c r="C14" s="17" cm="1">
        <f t="array" ref="C14">_xlfn.COUNTIFS('Priorities'!$B$2:$B$186,$A14,'Priorities'!$E$2:$E$186,"Good to have")</f>
        <v>0</v>
      </c>
      <c r="D14" s="17" cm="1">
        <f t="array" ref="D14">_xlfn.COUNTIFS('Priorities'!$B$2:$B$186,$A14,'Priorities'!$E$2:$E$186,"Future improvement")</f>
        <v>0</v>
      </c>
      <c r="E14" s="17" cm="1">
        <f t="array" ref="E14">F14-B14-C14-D14</f>
        <v>8</v>
      </c>
      <c r="F14" s="17" cm="1">
        <f t="array" ref="F14">COUNTIF('Priorities'!$B$2:$B$186,$A14)</f>
        <v>8</v>
      </c>
    </row>
    <row r="15" ht="14.6" customHeight="1">
      <c r="A15" t="s" s="16">
        <v>424</v>
      </c>
      <c r="B15" s="17" cm="1">
        <f t="array" ref="B15">_xlfn.COUNTIFS('Priorities'!$B$2:$B$186,$A15,'Priorities'!$E$2:$E$186,"MVP")</f>
        <v>0</v>
      </c>
      <c r="C15" s="17" cm="1">
        <f t="array" ref="C15">_xlfn.COUNTIFS('Priorities'!$B$2:$B$186,$A15,'Priorities'!$E$2:$E$186,"Good to have")</f>
        <v>0</v>
      </c>
      <c r="D15" s="17" cm="1">
        <f t="array" ref="D15">_xlfn.COUNTIFS('Priorities'!$B$2:$B$186,$A15,'Priorities'!$E$2:$E$186,"Future improvement")</f>
        <v>0</v>
      </c>
      <c r="E15" s="17" cm="1">
        <f t="array" ref="E15">F15-B15-C15-D15</f>
        <v>8</v>
      </c>
      <c r="F15" s="17" cm="1">
        <f t="array" ref="F15">COUNTIF('Priorities'!$B$2:$B$186,$A15)</f>
        <v>8</v>
      </c>
    </row>
    <row r="16" ht="14.6" customHeight="1">
      <c r="A16" t="s" s="16">
        <v>449</v>
      </c>
      <c r="B16" s="17" cm="1">
        <f t="array" ref="B16">_xlfn.COUNTIFS('Priorities'!$B$2:$B$186,$A16,'Priorities'!$E$2:$E$186,"MVP")</f>
        <v>0</v>
      </c>
      <c r="C16" s="17" cm="1">
        <f t="array" ref="C16">_xlfn.COUNTIFS('Priorities'!$B$2:$B$186,$A16,'Priorities'!$E$2:$E$186,"Good to have")</f>
        <v>0</v>
      </c>
      <c r="D16" s="17" cm="1">
        <f t="array" ref="D16">_xlfn.COUNTIFS('Priorities'!$B$2:$B$186,$A16,'Priorities'!$E$2:$E$186,"Future improvement")</f>
        <v>0</v>
      </c>
      <c r="E16" s="17" cm="1">
        <f t="array" ref="E16">F16-B16-C16-D16</f>
        <v>9</v>
      </c>
      <c r="F16" s="17" cm="1">
        <f t="array" ref="F16">COUNTIF('Priorities'!$B$2:$B$186,$A16)</f>
        <v>9</v>
      </c>
    </row>
    <row r="17" ht="14.6" customHeight="1">
      <c r="A17" t="s" s="16">
        <v>477</v>
      </c>
      <c r="B17" s="17" cm="1">
        <f t="array" ref="B17">_xlfn.COUNTIFS('Priorities'!$B$2:$B$186,$A17,'Priorities'!$E$2:$E$186,"MVP")</f>
        <v>0</v>
      </c>
      <c r="C17" s="17" cm="1">
        <f t="array" ref="C17">_xlfn.COUNTIFS('Priorities'!$B$2:$B$186,$A17,'Priorities'!$E$2:$E$186,"Good to have")</f>
        <v>0</v>
      </c>
      <c r="D17" s="17" cm="1">
        <f t="array" ref="D17">_xlfn.COUNTIFS('Priorities'!$B$2:$B$186,$A17,'Priorities'!$E$2:$E$186,"Future improvement")</f>
        <v>0</v>
      </c>
      <c r="E17" s="17" cm="1">
        <f t="array" ref="E17">F17-B17-C17-D17</f>
        <v>13</v>
      </c>
      <c r="F17" s="17" cm="1">
        <f t="array" ref="F17">COUNTIF('Priorities'!$B$2:$B$186,$A17)</f>
        <v>13</v>
      </c>
    </row>
    <row r="18" ht="14.6" customHeight="1">
      <c r="A18" t="s" s="16">
        <v>517</v>
      </c>
      <c r="B18" s="17" cm="1">
        <f t="array" ref="B18">_xlfn.COUNTIFS('Priorities'!$B$2:$B$186,$A18,'Priorities'!$E$2:$E$186,"MVP")</f>
        <v>0</v>
      </c>
      <c r="C18" s="17" cm="1">
        <f t="array" ref="C18">_xlfn.COUNTIFS('Priorities'!$B$2:$B$186,$A18,'Priorities'!$E$2:$E$186,"Good to have")</f>
        <v>0</v>
      </c>
      <c r="D18" s="17" cm="1">
        <f t="array" ref="D18">_xlfn.COUNTIFS('Priorities'!$B$2:$B$186,$A18,'Priorities'!$E$2:$E$186,"Future improvement")</f>
        <v>0</v>
      </c>
      <c r="E18" s="17" cm="1">
        <f t="array" ref="E18">F18-B18-C18-D18</f>
        <v>9</v>
      </c>
      <c r="F18" s="17" cm="1">
        <f t="array" ref="F18">COUNTIF('Priorities'!$B$2:$B$186,$A18)</f>
        <v>9</v>
      </c>
    </row>
    <row r="19" ht="14.6" customHeight="1">
      <c r="A19" t="s" s="16">
        <v>545</v>
      </c>
      <c r="B19" s="17" cm="1">
        <f t="array" ref="B19">_xlfn.COUNTIFS('Priorities'!$B$2:$B$186,$A19,'Priorities'!$E$2:$E$186,"MVP")</f>
        <v>0</v>
      </c>
      <c r="C19" s="17" cm="1">
        <f t="array" ref="C19">_xlfn.COUNTIFS('Priorities'!$B$2:$B$186,$A19,'Priorities'!$E$2:$E$186,"Good to have")</f>
        <v>0</v>
      </c>
      <c r="D19" s="17" cm="1">
        <f t="array" ref="D19">_xlfn.COUNTIFS('Priorities'!$B$2:$B$186,$A19,'Priorities'!$E$2:$E$186,"Future improvement")</f>
        <v>0</v>
      </c>
      <c r="E19" s="17" cm="1">
        <f t="array" ref="E19">F19-B19-C19-D19</f>
        <v>6</v>
      </c>
      <c r="F19" s="17" cm="1">
        <f t="array" ref="F19">COUNTIF('Priorities'!$B$2:$B$186,$A19)</f>
        <v>6</v>
      </c>
    </row>
    <row r="20" ht="14.6" customHeight="1">
      <c r="A20" t="s" s="16">
        <v>564</v>
      </c>
      <c r="B20" s="17" cm="1">
        <f t="array" ref="B20">_xlfn.COUNTIFS('Priorities'!$B$2:$B$186,$A20,'Priorities'!$E$2:$E$186,"MVP")</f>
        <v>0</v>
      </c>
      <c r="C20" s="17" cm="1">
        <f t="array" ref="C20">_xlfn.COUNTIFS('Priorities'!$B$2:$B$186,$A20,'Priorities'!$E$2:$E$186,"Good to have")</f>
        <v>0</v>
      </c>
      <c r="D20" s="17" cm="1">
        <f t="array" ref="D20">_xlfn.COUNTIFS('Priorities'!$B$2:$B$186,$A20,'Priorities'!$E$2:$E$186,"Future improvement")</f>
        <v>0</v>
      </c>
      <c r="E20" s="17" cm="1">
        <f t="array" ref="E20">F20-B20-C20-D20</f>
        <v>10</v>
      </c>
      <c r="F20" s="17" cm="1">
        <f t="array" ref="F20">COUNTIF('Priorities'!$B$2:$B$186,$A20)</f>
        <v>10</v>
      </c>
    </row>
    <row r="21" ht="14.6" customHeight="1">
      <c r="A21" t="s" s="16">
        <v>595</v>
      </c>
      <c r="B21" s="17" cm="1">
        <f t="array" ref="B21">_xlfn.COUNTIFS('Priorities'!$B$2:$B$186,$A21,'Priorities'!$E$2:$E$186,"MVP")</f>
        <v>0</v>
      </c>
      <c r="C21" s="17" cm="1">
        <f t="array" ref="C21">_xlfn.COUNTIFS('Priorities'!$B$2:$B$186,$A21,'Priorities'!$E$2:$E$186,"Good to have")</f>
        <v>0</v>
      </c>
      <c r="D21" s="17" cm="1">
        <f t="array" ref="D21">_xlfn.COUNTIFS('Priorities'!$B$2:$B$186,$A21,'Priorities'!$E$2:$E$186,"Future improvement")</f>
        <v>0</v>
      </c>
      <c r="E21" s="17" cm="1">
        <f t="array" ref="E21">F21-B21-C21-D21</f>
        <v>5</v>
      </c>
      <c r="F21" s="17" cm="1">
        <f t="array" ref="F21">COUNTIF('Priorities'!$B$2:$B$186,$A21)</f>
        <v>5</v>
      </c>
    </row>
    <row r="22" ht="14.6" customHeight="1">
      <c r="A22" t="s" s="16">
        <v>612</v>
      </c>
      <c r="B22" s="17" cm="1">
        <f t="array" ref="B22">SUM(B2:B21)</f>
        <v>51</v>
      </c>
      <c r="C22" s="17" cm="1">
        <f t="array" ref="C22">SUM(C2:C21)</f>
        <v>35</v>
      </c>
      <c r="D22" s="17" cm="1">
        <f t="array" ref="D22">SUM(D2:D21)</f>
        <v>24</v>
      </c>
      <c r="E22" s="17" cm="1">
        <f t="array" ref="E22">SUM(E2:E21)</f>
        <v>75</v>
      </c>
      <c r="F22" s="17" cm="1">
        <f t="array" ref="F22">SUM(F2:F21)</f>
        <v>185</v>
      </c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