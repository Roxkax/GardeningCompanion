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Priorities" sheetId="2" state="visible" r:id="rId4"/>
    <sheet name="Summary" sheetId="3" state="visible" r:id="rId5"/>
  </sheets>
  <definedNames>
    <definedName function="false" hidden="true" localSheetId="1" name="_xlnm._FilterDatabase" vbProcedure="false">Priorities!$A$1:$H$186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<sst xmlns="http://schemas.openxmlformats.org/spreadsheetml/2006/main" count="999" uniqueCount="613">
  <si>
    <t xml:space="preserve">Feature priorities — Gardening Companion</t>
  </si>
  <si>
    <t xml:space="preserve">1. Open the "Priorities" sheet.</t>
  </si>
  <si>
    <t xml:space="preserve">2. In the yellow "Your priority" column, pick one value for each row:</t>
  </si>
  <si>
    <t xml:space="preserve">     • MVP — needed in the first usable version</t>
  </si>
  <si>
    <t xml:space="preserve">     • Good to have — after the MVP, still planned</t>
  </si>
  <si>
    <t xml:space="preserve">     • Future improvement — later, maybe</t>
  </si>
  <si>
    <t xml:space="preserve">3. "Suggested" is Claude's suggestion, for reference only. Change anything.</t>
  </si>
  <si>
    <t xml:space="preserve">4. Use "Your notes" for comments or changes to a row.</t>
  </si>
  <si>
    <t xml:space="preserve">5. Only edit the yellow columns. The "Summary" sheet counts your choices automatically.</t>
  </si>
  <si>
    <t xml:space="preserve">6. Rows marked "Decided earlier: not in MVP" were already agreed as later — change them if you've changed your mind.</t>
  </si>
  <si>
    <t xml:space="preserve">7. When finished, export as Excel (Share → Export → Excel) and send the file back in the chat.</t>
  </si>
  <si>
    <t xml:space="preserve">Example: row "Plot boundary on satellite map" → Your priority: MVP → Your notes: "Tap corners is enough"</t>
  </si>
  <si>
    <t xml:space="preserve">ID</t>
  </si>
  <si>
    <t xml:space="preserve">Feature</t>
  </si>
  <si>
    <t xml:space="preserve">Sub-feature</t>
  </si>
  <si>
    <t xml:space="preserve">What it means</t>
  </si>
  <si>
    <t xml:space="preserve">Your priority</t>
  </si>
  <si>
    <t xml:space="preserve">Suggested</t>
  </si>
  <si>
    <t xml:space="preserve">Your notes</t>
  </si>
  <si>
    <t xml:space="preserve">Info</t>
  </si>
  <si>
    <t xml:space="preserve">0.1</t>
  </si>
  <si>
    <t xml:space="preserve">Foundations</t>
  </si>
  <si>
    <t xml:space="preserve">Sign-in and accounts</t>
  </si>
  <si>
    <t xml:space="preserve">Entra External ID sign-in (email, Apple, Google); every record belongs to a user</t>
  </si>
  <si>
    <t xml:space="preserve">MVP</t>
  </si>
  <si>
    <t xml:space="preserve">Needed by almost everything</t>
  </si>
  <si>
    <t xml:space="preserve">0.2</t>
  </si>
  <si>
    <t xml:space="preserve">Portuguese and English</t>
  </si>
  <si>
    <t xml:space="preserve">Whole app and content in pt-PT and English</t>
  </si>
  <si>
    <t xml:space="preserve">Decided earlier: first version</t>
  </si>
  <si>
    <t xml:space="preserve">0.3</t>
  </si>
  <si>
    <t xml:space="preserve">Offline sync</t>
  </si>
  <si>
    <t xml:space="preserve">Work offline and sync later; you resolve conflicts yourself</t>
  </si>
  <si>
    <t xml:space="preserve">Needed by journal, tasks, map</t>
  </si>
  <si>
    <t xml:space="preserve">0.4</t>
  </si>
  <si>
    <t xml:space="preserve">Activity log</t>
  </si>
  <si>
    <t xml:space="preserve">Permanent history of everything done; base for roadmap, journal and AI</t>
  </si>
  <si>
    <t xml:space="preserve">Needed by roadmap, journal and AI</t>
  </si>
  <si>
    <t xml:space="preserve">0.5</t>
  </si>
  <si>
    <t xml:space="preserve">Knowledge base pipeline</t>
  </si>
  <si>
    <t xml:space="preserve">Crops, guides and tools kept in git (PT/EN), published to the app and AI</t>
  </si>
  <si>
    <t xml:space="preserve">Needed by calendar, guides and AI</t>
  </si>
  <si>
    <t xml:space="preserve">0.6</t>
  </si>
  <si>
    <t xml:space="preserve">Account deletion and data export</t>
  </si>
  <si>
    <t xml:space="preserve">Required by Apple and Google for apps with accounts</t>
  </si>
  <si>
    <t xml:space="preserve">Store requirement</t>
  </si>
  <si>
    <t xml:space="preserve">0.7</t>
  </si>
  <si>
    <t xml:space="preserve">Android app</t>
  </si>
  <si>
    <t xml:space="preserve">Port each stable iOS milestone to Android</t>
  </si>
  <si>
    <t xml:space="preserve">Good to have</t>
  </si>
  <si>
    <t xml:space="preserve">Decided earlier: iOS first</t>
  </si>
  <si>
    <t xml:space="preserve">3.1.1</t>
  </si>
  <si>
    <t xml:space="preserve">Project roadmap</t>
  </si>
  <si>
    <t xml:space="preserve">Next actions (rules)</t>
  </si>
  <si>
    <t xml:space="preserve">Fixed agronomy rules work out the next actions per zone, with safety limits</t>
  </si>
  <si>
    <t xml:space="preserve">3.1.2</t>
  </si>
  <si>
    <t xml:space="preserve">Next actions (AI)</t>
  </si>
  <si>
    <t xml:space="preserve">AI ranks and adapts next actions, explains why</t>
  </si>
  <si>
    <t xml:space="preserve">3.1.3</t>
  </si>
  <si>
    <t xml:space="preserve">Per-zone stages</t>
  </si>
  <si>
    <t xml:space="preserve">Each zone has its own stage, worked out from its state</t>
  </si>
  <si>
    <t xml:space="preserve">3.1.4</t>
  </si>
  <si>
    <t xml:space="preserve">Starting point</t>
  </si>
  <si>
    <t xml:space="preserve">Setup asks what already exists so you don't start from zero</t>
  </si>
  <si>
    <t xml:space="preserve">3.1.5</t>
  </si>
  <si>
    <t xml:space="preserve">Season-aware timing</t>
  </si>
  <si>
    <t xml:space="preserve">Actions scheduled in their ideal time window for your climate</t>
  </si>
  <si>
    <t xml:space="preserve">3.1.6</t>
  </si>
  <si>
    <t xml:space="preserve">Time and cost estimates</t>
  </si>
  <si>
    <t xml:space="preserve">Rough time and cost for each action</t>
  </si>
  <si>
    <t xml:space="preserve">3.1.7</t>
  </si>
  <si>
    <t xml:space="preserve">Deviation handling</t>
  </si>
  <si>
    <t xml:space="preserve">Mark actions as done differently, skipped, not possible or a problem; plan adapts</t>
  </si>
  <si>
    <t xml:space="preserve">3.1.8</t>
  </si>
  <si>
    <t xml:space="preserve">Content freshness review</t>
  </si>
  <si>
    <t xml:space="preserve">AI proposes updates to outdated content; you review before publishing</t>
  </si>
  <si>
    <t xml:space="preserve">Future improvement</t>
  </si>
  <si>
    <t xml:space="preserve">3.3.1</t>
  </si>
  <si>
    <t xml:space="preserve">Plot mapping</t>
  </si>
  <si>
    <t xml:space="preserve">Plot boundary on satellite map</t>
  </si>
  <si>
    <t xml:space="preserve">Draw the plot by tapping corners</t>
  </si>
  <si>
    <t xml:space="preserve">3.3.2</t>
  </si>
  <si>
    <t xml:space="preserve">Walk boundary with GPS</t>
  </si>
  <si>
    <t xml:space="preserve">Walk around the plot to draw it</t>
  </si>
  <si>
    <t xml:space="preserve">3.3.3</t>
  </si>
  <si>
    <t xml:space="preserve">Zones and beds</t>
  </si>
  <si>
    <t xml:space="preserve">Draw zones and beds, or enter exact dimensions</t>
  </si>
  <si>
    <t xml:space="preserve">3.3.4</t>
  </si>
  <si>
    <t xml:space="preserve">Points of interest</t>
  </si>
  <si>
    <t xml:space="preserve">Water, electricity, access, buildings, trees with heights</t>
  </si>
  <si>
    <t xml:space="preserve">Irrigation needs water sources</t>
  </si>
  <si>
    <t xml:space="preserve">3.3.5</t>
  </si>
  <si>
    <t xml:space="preserve">Area, sun and slope</t>
  </si>
  <si>
    <t xml:space="preserve">Calculated automatically from the map and elevation data</t>
  </si>
  <si>
    <t xml:space="preserve">3.3.6</t>
  </si>
  <si>
    <t xml:space="preserve">Soil type estimate</t>
  </si>
  <si>
    <t xml:space="preserve">Estimated from global soil maps (SoilGrids), no tests</t>
  </si>
  <si>
    <t xml:space="preserve">3.3.7</t>
  </si>
  <si>
    <t xml:space="preserve">Shade estimation</t>
  </si>
  <si>
    <t xml:space="preserve">Shade from trees and buildings over the day and year, plus observed shade</t>
  </si>
  <si>
    <t xml:space="preserve">3.3.8</t>
  </si>
  <si>
    <t xml:space="preserve">Prevailing wind</t>
  </si>
  <si>
    <t xml:space="preserve">Wind direction from weather data, windbreak suggestions</t>
  </si>
  <si>
    <t xml:space="preserve">3.3.9</t>
  </si>
  <si>
    <t xml:space="preserve">Layout designer</t>
  </si>
  <si>
    <t xml:space="preserve">Beds with real dimensions, paths, row direction</t>
  </si>
  <si>
    <t xml:space="preserve">3.3.10</t>
  </si>
  <si>
    <t xml:space="preserve">Measuring tool</t>
  </si>
  <si>
    <t xml:space="preserve">Measure distances on the map (e.g. pipe length)</t>
  </si>
  <si>
    <t xml:space="preserve">3.3.11</t>
  </si>
  <si>
    <t xml:space="preserve">Layout history</t>
  </si>
  <si>
    <t xml:space="preserve">Each season's layout kept as a version</t>
  </si>
  <si>
    <t xml:space="preserve">Rotation planner needs it</t>
  </si>
  <si>
    <t xml:space="preserve">3.3.12</t>
  </si>
  <si>
    <t xml:space="preserve">Several plots per user</t>
  </si>
  <si>
    <t xml:space="preserve">e.g. a backyard and a separate field</t>
  </si>
  <si>
    <t xml:space="preserve">Decided earlier: not in MVP</t>
  </si>
  <si>
    <t xml:space="preserve">3.4.1</t>
  </si>
  <si>
    <t xml:space="preserve">Site assessment</t>
  </si>
  <si>
    <t xml:space="preserve">AI photo assessment</t>
  </si>
  <si>
    <t xml:space="preserve">Vegetation to clear, problem plants, trees to keep, obstacles, terrain, water problems, infrastructure</t>
  </si>
  <si>
    <t xml:space="preserve">3.4.2</t>
  </si>
  <si>
    <t xml:space="preserve">Wildlife pressure</t>
  </si>
  <si>
    <t xml:space="preserve">Signs of rabbits, wild boar, birds, moles; fencing advice</t>
  </si>
  <si>
    <t xml:space="preserve">3.4.3</t>
  </si>
  <si>
    <t xml:space="preserve">Fixed photo spots</t>
  </si>
  <si>
    <t xml:space="preserve">Guided photos from the same spots for before-and-after</t>
  </si>
  <si>
    <t xml:space="preserve">3.4.4</t>
  </si>
  <si>
    <t xml:space="preserve">Walk-around video</t>
  </si>
  <si>
    <t xml:space="preserve">Film a zone; the app picks frames for the AI</t>
  </si>
  <si>
    <t xml:space="preserve">3.4.5</t>
  </si>
  <si>
    <t xml:space="preserve">Equipment advice</t>
  </si>
  <si>
    <t xml:space="preserve">Buy, rent or borrow big equipment (follows "always own")</t>
  </si>
  <si>
    <t xml:space="preserve">3.4.6</t>
  </si>
  <si>
    <t xml:space="preserve">Re-assessments</t>
  </si>
  <si>
    <t xml:space="preserve">Repeat the assessment to track progress</t>
  </si>
  <si>
    <t xml:space="preserve">3.5.1</t>
  </si>
  <si>
    <t xml:space="preserve">Planting calendar</t>
  </si>
  <si>
    <t xml:space="preserve">Climate-based windows</t>
  </si>
  <si>
    <t xml:space="preserve">Sow, plant-out and harvest windows from local climate history</t>
  </si>
  <si>
    <t xml:space="preserve">3.5.2</t>
  </si>
  <si>
    <t xml:space="preserve">Too-hot windows</t>
  </si>
  <si>
    <t xml:space="preserve">Avoid heat for crops that bolt or stop fruiting</t>
  </si>
  <si>
    <t xml:space="preserve">Critical in Alentejo</t>
  </si>
  <si>
    <t xml:space="preserve">3.5.3</t>
  </si>
  <si>
    <t xml:space="preserve">Month view and "This week"</t>
  </si>
  <si>
    <t xml:space="preserve">Calendar views</t>
  </si>
  <si>
    <t xml:space="preserve">3.5.4</t>
  </si>
  <si>
    <t xml:space="preserve">Forecast adjustment</t>
  </si>
  <si>
    <t xml:space="preserve">Windows shifted by the weather forecast</t>
  </si>
  <si>
    <t xml:space="preserve">3.5.5</t>
  </si>
  <si>
    <t xml:space="preserve">Zone fit</t>
  </si>
  <si>
    <t xml:space="preserve">What can be planted now in each zone (sun and shade)</t>
  </si>
  <si>
    <t xml:space="preserve">3.5.6</t>
  </si>
  <si>
    <t xml:space="preserve">Varieties</t>
  </si>
  <si>
    <t xml:space="preserve">Early and late varieties with different timing</t>
  </si>
  <si>
    <t xml:space="preserve">3.5.7</t>
  </si>
  <si>
    <t xml:space="preserve">Day length</t>
  </si>
  <si>
    <t xml:space="preserve">Varieties suited to your latitude (e.g. short-day onions)</t>
  </si>
  <si>
    <t xml:space="preserve">3.5.8</t>
  </si>
  <si>
    <t xml:space="preserve">Heat-based harvest estimates</t>
  </si>
  <si>
    <t xml:space="preserve">Harvest dates from heat received since sowing</t>
  </si>
  <si>
    <t xml:space="preserve">3.5.9</t>
  </si>
  <si>
    <t xml:space="preserve">Staggered sowing reminders</t>
  </si>
  <si>
    <t xml:space="preserve">e.g. lettuce every 2–3 weeks</t>
  </si>
  <si>
    <t xml:space="preserve">3.5.10</t>
  </si>
  <si>
    <t xml:space="preserve">Export to phone calendar</t>
  </si>
  <si>
    <t xml:space="preserve">Add sowing and harvest dates to iOS Calendar</t>
  </si>
  <si>
    <t xml:space="preserve">3.6.1</t>
  </si>
  <si>
    <t xml:space="preserve">Choosing your crops</t>
  </si>
  <si>
    <t xml:space="preserve">Pick crops</t>
  </si>
  <si>
    <t xml:space="preserve">Choose crops with variety, priority and quantity</t>
  </si>
  <si>
    <t xml:space="preserve">3.6.2</t>
  </si>
  <si>
    <t xml:space="preserve">Ranked suggestions</t>
  </si>
  <si>
    <t xml:space="preserve">Crops ranked by fit for your location, with reasons</t>
  </si>
  <si>
    <t xml:space="preserve">3.6.3</t>
  </si>
  <si>
    <t xml:space="preserve">Poor-fit warnings</t>
  </si>
  <si>
    <t xml:space="preserve">Warns about a bad crop or timing, never blocks</t>
  </si>
  <si>
    <t xml:space="preserve">3.6.4</t>
  </si>
  <si>
    <t xml:space="preserve">How much to plant</t>
  </si>
  <si>
    <t xml:space="preserve">Number of plants and space from the quantity you want</t>
  </si>
  <si>
    <t xml:space="preserve">3.6.5</t>
  </si>
  <si>
    <t xml:space="preserve">AI explanation</t>
  </si>
  <si>
    <t xml:space="preserve">Personalised AI explanation of the suggestions</t>
  </si>
  <si>
    <t xml:space="preserve">3.7.1</t>
  </si>
  <si>
    <t xml:space="preserve">Guides</t>
  </si>
  <si>
    <t xml:space="preserve">Step-by-step guides with sources</t>
  </si>
  <si>
    <t xml:space="preserve">PT and EN guides citing sources, with review dates</t>
  </si>
  <si>
    <t xml:space="preserve">3.7.2</t>
  </si>
  <si>
    <t xml:space="preserve">Standard step layout</t>
  </si>
  <si>
    <t xml:space="preserve">What to do, illustration, tools, time, safety, mistakes, "done right" check</t>
  </si>
  <si>
    <t xml:space="preserve">3.7.3</t>
  </si>
  <si>
    <t xml:space="preserve">Technique guides</t>
  </si>
  <si>
    <t xml:space="preserve">Clearing, beds, drip irrigation, mulching, compost, sowing, planting out…</t>
  </si>
  <si>
    <t xml:space="preserve">3.7.4</t>
  </si>
  <si>
    <t xml:space="preserve">Crop guides</t>
  </si>
  <si>
    <t xml:space="preserve">Each crop from sowing to harvest</t>
  </si>
  <si>
    <t xml:space="preserve">3.7.5</t>
  </si>
  <si>
    <t xml:space="preserve">Problem guides</t>
  </si>
  <si>
    <t xml:space="preserve">Pests and diseases, organic methods first</t>
  </si>
  <si>
    <t xml:space="preserve">3.7.6</t>
  </si>
  <si>
    <t xml:space="preserve">Quantities from your numbers</t>
  </si>
  <si>
    <t xml:space="preserve">e.g. compost for your exact bed size</t>
  </si>
  <si>
    <t xml:space="preserve">3.7.7</t>
  </si>
  <si>
    <t xml:space="preserve">Doing mode with read-aloud</t>
  </si>
  <si>
    <t xml:space="preserve">Big text, one step at a time, spoken steps</t>
  </si>
  <si>
    <t xml:space="preserve">3.7.8</t>
  </si>
  <si>
    <t xml:space="preserve">Ask AI about a step</t>
  </si>
  <si>
    <t xml:space="preserve">Ask the AI about the step you're on</t>
  </si>
  <si>
    <t xml:space="preserve">3.7.9</t>
  </si>
  <si>
    <t xml:space="preserve">Photo check of your work</t>
  </si>
  <si>
    <t xml:space="preserve">AI checks a photo of the finished step</t>
  </si>
  <si>
    <t xml:space="preserve">3.7.10</t>
  </si>
  <si>
    <t xml:space="preserve">Unclear-step feedback</t>
  </si>
  <si>
    <t xml:space="preserve">Flag unclear steps for content review</t>
  </si>
  <si>
    <t xml:space="preserve">3.7.11</t>
  </si>
  <si>
    <t xml:space="preserve">Offline download</t>
  </si>
  <si>
    <t xml:space="preserve">Text and images available offline</t>
  </si>
  <si>
    <t xml:space="preserve">3.7.12</t>
  </si>
  <si>
    <t xml:space="preserve">Selected videos</t>
  </si>
  <si>
    <t xml:space="preserve">Links to good videos, with a broken-link check</t>
  </si>
  <si>
    <t xml:space="preserve">3.7.13</t>
  </si>
  <si>
    <t xml:space="preserve">AI illustrations</t>
  </si>
  <si>
    <t xml:space="preserve">gpt-image illustrations plus diagrams, reviewed by you</t>
  </si>
  <si>
    <t xml:space="preserve">3.7.14</t>
  </si>
  <si>
    <t xml:space="preserve">AI-generated video or animations</t>
  </si>
  <si>
    <t xml:space="preserve">Generated once per guide and reviewed</t>
  </si>
  <si>
    <t xml:space="preserve">3.8.1</t>
  </si>
  <si>
    <t xml:space="preserve">Journal and timeline</t>
  </si>
  <si>
    <t xml:space="preserve">Entries with photos and notes</t>
  </si>
  <si>
    <t xml:space="preserve">Log what you did per zone, bed or planting</t>
  </si>
  <si>
    <t xml:space="preserve">3.8.2</t>
  </si>
  <si>
    <t xml:space="preserve">Quick and bulk logging</t>
  </si>
  <si>
    <t xml:space="preserve">One tap; several beds at once</t>
  </si>
  <si>
    <t xml:space="preserve">3.8.3</t>
  </si>
  <si>
    <t xml:space="preserve">Voice notes</t>
  </si>
  <si>
    <t xml:space="preserve">Dictate notes in the field</t>
  </si>
  <si>
    <t xml:space="preserve">3.8.4</t>
  </si>
  <si>
    <t xml:space="preserve">Automatic entries</t>
  </si>
  <si>
    <t xml:space="preserve">Completing actions, tasks or guide steps logs them</t>
  </si>
  <si>
    <t xml:space="preserve">3.8.5</t>
  </si>
  <si>
    <t xml:space="preserve">Weather on each day</t>
  </si>
  <si>
    <t xml:space="preserve">Day's rain and temperatures attached automatically</t>
  </si>
  <si>
    <t xml:space="preserve">3.8.6</t>
  </si>
  <si>
    <t xml:space="preserve">Change the date</t>
  </si>
  <si>
    <t xml:space="preserve">Log things after the fact</t>
  </si>
  <si>
    <t xml:space="preserve">3.8.7</t>
  </si>
  <si>
    <t xml:space="preserve">Timeline views</t>
  </si>
  <si>
    <t xml:space="preserve">History for a zone, bed or planting</t>
  </si>
  <si>
    <t xml:space="preserve">3.8.8</t>
  </si>
  <si>
    <t xml:space="preserve">Photo time-lapse</t>
  </si>
  <si>
    <t xml:space="preserve">From the fixed photo spots</t>
  </si>
  <si>
    <t xml:space="preserve">3.8.9</t>
  </si>
  <si>
    <t xml:space="preserve">Harvest log</t>
  </si>
  <si>
    <t xml:space="preserve">Weight or count per crop, compared with expected</t>
  </si>
  <si>
    <t xml:space="preserve">3.8.10</t>
  </si>
  <si>
    <t xml:space="preserve">Harvest value</t>
  </si>
  <si>
    <t xml:space="preserve">Estimated value using prices you enter</t>
  </si>
  <si>
    <t xml:space="preserve">3.8.11</t>
  </si>
  <si>
    <t xml:space="preserve">Search and filters</t>
  </si>
  <si>
    <t xml:space="preserve">Find past entries</t>
  </si>
  <si>
    <t xml:space="preserve">3.8.12</t>
  </si>
  <si>
    <t xml:space="preserve">Export CSV/PDF</t>
  </si>
  <si>
    <t xml:space="preserve">Export your journal</t>
  </si>
  <si>
    <t xml:space="preserve">3.9.1</t>
  </si>
  <si>
    <t xml:space="preserve">Tasks and reminders</t>
  </si>
  <si>
    <t xml:space="preserve">Tasks from all sources</t>
  </si>
  <si>
    <t xml:space="preserve">Roadmap, calendar, care, weather, AI and your own</t>
  </si>
  <si>
    <t xml:space="preserve">3.9.2</t>
  </si>
  <si>
    <t xml:space="preserve">Task details</t>
  </si>
  <si>
    <t xml:space="preserve">Date range, time estimate, priority, guide link</t>
  </si>
  <si>
    <t xml:space="preserve">3.9.3</t>
  </si>
  <si>
    <t xml:space="preserve">Tools check</t>
  </si>
  <si>
    <t xml:space="preserve">Warns if a tool you need is missing</t>
  </si>
  <si>
    <t xml:space="preserve">3.9.4</t>
  </si>
  <si>
    <t xml:space="preserve">Task outcomes</t>
  </si>
  <si>
    <t xml:space="preserve">Done, skipped or couldn't do (with reason)</t>
  </si>
  <si>
    <t xml:space="preserve">3.9.5</t>
  </si>
  <si>
    <t xml:space="preserve">Today, Week and zone views</t>
  </si>
  <si>
    <t xml:space="preserve">Task list views</t>
  </si>
  <si>
    <t xml:space="preserve">3.9.6</t>
  </si>
  <si>
    <t xml:space="preserve">Weekend planner</t>
  </si>
  <si>
    <t xml:space="preserve">Pick the best tasks for the hours you have</t>
  </si>
  <si>
    <t xml:space="preserve">3.9.7</t>
  </si>
  <si>
    <t xml:space="preserve">Weather-aware rescheduling</t>
  </si>
  <si>
    <t xml:space="preserve">Skip watering before rain, water early in heat…</t>
  </si>
  <si>
    <t xml:space="preserve">3.9.8</t>
  </si>
  <si>
    <t xml:space="preserve">Repeating tasks</t>
  </si>
  <si>
    <t xml:space="preserve">e.g. weekly feeding</t>
  </si>
  <si>
    <t xml:space="preserve">3.9.9</t>
  </si>
  <si>
    <t xml:space="preserve">Missed-task alternatives</t>
  </si>
  <si>
    <t xml:space="preserve">Roadmap suggests an alternative when a window is missed</t>
  </si>
  <si>
    <t xml:space="preserve">3.9.10</t>
  </si>
  <si>
    <t xml:space="preserve">On-phone reminders</t>
  </si>
  <si>
    <t xml:space="preserve">Reminders that work offline</t>
  </si>
  <si>
    <t xml:space="preserve">3.9.11</t>
  </si>
  <si>
    <t xml:space="preserve">Morning summary</t>
  </si>
  <si>
    <t xml:space="preserve">One daily notification instead of many</t>
  </si>
  <si>
    <t xml:space="preserve">3.9.12</t>
  </si>
  <si>
    <t xml:space="preserve">Quiet hours</t>
  </si>
  <si>
    <t xml:space="preserve">No notifications at set times</t>
  </si>
  <si>
    <t xml:space="preserve">3.9.13</t>
  </si>
  <si>
    <t xml:space="preserve">Share tasks with family</t>
  </si>
  <si>
    <t xml:space="preserve">Helpers see and do tasks</t>
  </si>
  <si>
    <t xml:space="preserve">3.10.1</t>
  </si>
  <si>
    <t xml:space="preserve">Tools</t>
  </si>
  <si>
    <t xml:space="preserve">My tools with reference images</t>
  </si>
  <si>
    <t xml:space="preserve">List of owned tools, each with an image to recognise it</t>
  </si>
  <si>
    <t xml:space="preserve">3.10.2</t>
  </si>
  <si>
    <t xml:space="preserve">Own photo of a tool</t>
  </si>
  <si>
    <t xml:space="preserve">Replace the reference image with your photo</t>
  </si>
  <si>
    <t xml:space="preserve">3.10.3</t>
  </si>
  <si>
    <t xml:space="preserve">Tools needed per action</t>
  </si>
  <si>
    <t xml:space="preserve">Actions, tasks and guides list their tools</t>
  </si>
  <si>
    <t xml:space="preserve">3.10.4</t>
  </si>
  <si>
    <t xml:space="preserve">"Tools to get" list</t>
  </si>
  <si>
    <t xml:space="preserve">Missing tools ordered by when needed</t>
  </si>
  <si>
    <t xml:space="preserve">3.10.5</t>
  </si>
  <si>
    <t xml:space="preserve">"Always own" setting</t>
  </si>
  <si>
    <t xml:space="preserve">Default to buy; hide rent and borrow</t>
  </si>
  <si>
    <t xml:space="preserve">You use this setting</t>
  </si>
  <si>
    <t xml:space="preserve">3.10.6</t>
  </si>
  <si>
    <t xml:space="preserve">Starter toolkit</t>
  </si>
  <si>
    <t xml:space="preserve">Recommended set for your plot: essential vs nice to have</t>
  </si>
  <si>
    <t xml:space="preserve">3.10.7</t>
  </si>
  <si>
    <t xml:space="preserve">Buy/rent/borrow advice</t>
  </si>
  <si>
    <t xml:space="preserve">For big equipment (hidden when "always own" is on)</t>
  </si>
  <si>
    <t xml:space="preserve">3.10.8</t>
  </si>
  <si>
    <t xml:space="preserve">Maintenance reminders</t>
  </si>
  <si>
    <t xml:space="preserve">Sharpen, clean, store before frost</t>
  </si>
  <si>
    <t xml:space="preserve">3.10.9</t>
  </si>
  <si>
    <t xml:space="preserve">Shop links and affiliates</t>
  </si>
  <si>
    <t xml:space="preserve">Commercial idea</t>
  </si>
  <si>
    <t xml:space="preserve">3.11.1</t>
  </si>
  <si>
    <t xml:space="preserve">Irrigation planner</t>
  </si>
  <si>
    <t xml:space="preserve">Water sources and bucket test</t>
  </si>
  <si>
    <t xml:space="preserve">Sources from the map; measure flow rate</t>
  </si>
  <si>
    <t xml:space="preserve">3.11.2</t>
  </si>
  <si>
    <t xml:space="preserve">Method per bed</t>
  </si>
  <si>
    <t xml:space="preserve">Drip line, drippers, soaker hose or sprinklers</t>
  </si>
  <si>
    <t xml:space="preserve">3.11.3</t>
  </si>
  <si>
    <t xml:space="preserve">System layout on map</t>
  </si>
  <si>
    <t xml:space="preserve">Main pipe, branches, drip lines per bed</t>
  </si>
  <si>
    <t xml:space="preserve">3.11.4</t>
  </si>
  <si>
    <t xml:space="preserve">Flow check and sectors</t>
  </si>
  <si>
    <t xml:space="preserve">Split into sectors if flow is too low; filter, regulator, backflow</t>
  </si>
  <si>
    <t xml:space="preserve">3.11.5</t>
  </si>
  <si>
    <t xml:space="preserve">Parts list</t>
  </si>
  <si>
    <t xml:space="preserve">For information only</t>
  </si>
  <si>
    <t xml:space="preserve">3.11.6</t>
  </si>
  <si>
    <t xml:space="preserve">Watering schedule</t>
  </si>
  <si>
    <t xml:space="preserve">Run times from crop and season guidance, adjusted by weather; creates tasks</t>
  </si>
  <si>
    <t xml:space="preserve">3.11.7</t>
  </si>
  <si>
    <t xml:space="preserve">Hand-watering guidance</t>
  </si>
  <si>
    <t xml:space="preserve">Before a system is installed</t>
  </si>
  <si>
    <t xml:space="preserve">3.11.8</t>
  </si>
  <si>
    <t xml:space="preserve">Mulching advice</t>
  </si>
  <si>
    <t xml:space="preserve">Reduce water use</t>
  </si>
  <si>
    <t xml:space="preserve">3.11.9</t>
  </si>
  <si>
    <t xml:space="preserve">Rainwater harvesting estimate</t>
  </si>
  <si>
    <t xml:space="preserve">Roof area × rainfall, tank size</t>
  </si>
  <si>
    <t xml:space="preserve">3.11.10</t>
  </si>
  <si>
    <t xml:space="preserve">Seasonal reminders</t>
  </si>
  <si>
    <t xml:space="preserve">Flush lines, clean filters, drain before frost</t>
  </si>
  <si>
    <t xml:space="preserve">3.11.11</t>
  </si>
  <si>
    <t xml:space="preserve">Smart controllers and sensors</t>
  </si>
  <si>
    <t xml:space="preserve">Connect irrigation controllers and soil moisture sensors</t>
  </si>
  <si>
    <t xml:space="preserve">3.12.1</t>
  </si>
  <si>
    <t xml:space="preserve">Weather alerts</t>
  </si>
  <si>
    <t xml:space="preserve">Crop-aware alerts</t>
  </si>
  <si>
    <t xml:space="preserve">Frost, heat, wind, rain, hail, storms, dry spells — only when your crops are at risk</t>
  </si>
  <si>
    <t xml:space="preserve">3.12.2</t>
  </si>
  <si>
    <t xml:space="preserve">Skip-watering notices</t>
  </si>
  <si>
    <t xml:space="preserve">Rain is coming</t>
  </si>
  <si>
    <t xml:space="preserve">3.12.3</t>
  </si>
  <si>
    <t xml:space="preserve">Good-conditions alerts</t>
  </si>
  <si>
    <t xml:space="preserve">e.g. good day to plant out</t>
  </si>
  <si>
    <t xml:space="preserve">3.12.4</t>
  </si>
  <si>
    <t xml:space="preserve">Actions as tasks</t>
  </si>
  <si>
    <t xml:space="preserve">Each alert creates tasks with guide links</t>
  </si>
  <si>
    <t xml:space="preserve">3.12.5</t>
  </si>
  <si>
    <t xml:space="preserve">Severity and confidence</t>
  </si>
  <si>
    <t xml:space="preserve">Watch vs warning; forecast confidence</t>
  </si>
  <si>
    <t xml:space="preserve">3.12.6</t>
  </si>
  <si>
    <t xml:space="preserve">Quiet-hours override</t>
  </si>
  <si>
    <t xml:space="preserve">Urgent alerts break through quiet hours</t>
  </si>
  <si>
    <t xml:space="preserve">3.12.7</t>
  </si>
  <si>
    <t xml:space="preserve">7-day weather screen</t>
  </si>
  <si>
    <t xml:space="preserve">Forecast with gardening notes</t>
  </si>
  <si>
    <t xml:space="preserve">3.12.8</t>
  </si>
  <si>
    <t xml:space="preserve">Follow-up after event</t>
  </si>
  <si>
    <t xml:space="preserve">Check plants and log damage after frost or storm</t>
  </si>
  <si>
    <t xml:space="preserve">3.12.9</t>
  </si>
  <si>
    <t xml:space="preserve">IPMA official warnings</t>
  </si>
  <si>
    <t xml:space="preserve">Portuguese official weather warnings</t>
  </si>
  <si>
    <t xml:space="preserve">3.12.10</t>
  </si>
  <si>
    <t xml:space="preserve">Other countries' warnings</t>
  </si>
  <si>
    <t xml:space="preserve">MeteoAlarm or national services</t>
  </si>
  <si>
    <t xml:space="preserve">3.13.1</t>
  </si>
  <si>
    <t xml:space="preserve">Plant identification</t>
  </si>
  <si>
    <t xml:space="preserve">Photo identification</t>
  </si>
  <si>
    <t xml:space="preserve">Top matches with confidence, PT/EN and scientific names</t>
  </si>
  <si>
    <t xml:space="preserve">3.13.2</t>
  </si>
  <si>
    <t xml:space="preserve">Crop-or-weed verdict</t>
  </si>
  <si>
    <t xml:space="preserve">Especially for seedlings</t>
  </si>
  <si>
    <t xml:space="preserve">3.13.3</t>
  </si>
  <si>
    <t xml:space="preserve">Context for accuracy</t>
  </si>
  <si>
    <t xml:space="preserve">Uses location, season and what's planted in the bed</t>
  </si>
  <si>
    <t xml:space="preserve">3.13.4</t>
  </si>
  <si>
    <t xml:space="preserve">Several photos</t>
  </si>
  <si>
    <t xml:space="preserve">Leaf, flower, whole plant</t>
  </si>
  <si>
    <t xml:space="preserve">3.13.5</t>
  </si>
  <si>
    <t xml:space="preserve">Invasive and toxic flags</t>
  </si>
  <si>
    <t xml:space="preserve">Warnings only; never says a wild plant is safe to eat</t>
  </si>
  <si>
    <t xml:space="preserve">3.13.6</t>
  </si>
  <si>
    <t xml:space="preserve">One-tap actions</t>
  </si>
  <si>
    <t xml:space="preserve">Add as planting, mark as weed (removal task), keep tree</t>
  </si>
  <si>
    <t xml:space="preserve">3.13.7</t>
  </si>
  <si>
    <t xml:space="preserve">Corrections</t>
  </si>
  <si>
    <t xml:space="preserve">Fix wrong results; used as context and for testing</t>
  </si>
  <si>
    <t xml:space="preserve">3.13.8</t>
  </si>
  <si>
    <t xml:space="preserve">Specialist ID service</t>
  </si>
  <si>
    <t xml:space="preserve">Second opinion from a plant-ID service</t>
  </si>
  <si>
    <t xml:space="preserve">3.14.1</t>
  </si>
  <si>
    <t xml:space="preserve">Pest and disease diagnosis</t>
  </si>
  <si>
    <t xml:space="preserve">Photo diagnosis</t>
  </si>
  <si>
    <t xml:space="preserve">Pests, diseases, nutrient problems and environmental stress</t>
  </si>
  <si>
    <t xml:space="preserve">3.14.2</t>
  </si>
  <si>
    <t xml:space="preserve">Follow-up questions</t>
  </si>
  <si>
    <t xml:space="preserve">AI asks questions when unsure</t>
  </si>
  <si>
    <t xml:space="preserve">3.14.3</t>
  </si>
  <si>
    <t xml:space="preserve">Treatment plans</t>
  </si>
  <si>
    <t xml:space="preserve">Organic first; chemicals last, never by product name</t>
  </si>
  <si>
    <t xml:space="preserve">3.14.4</t>
  </si>
  <si>
    <t xml:space="preserve">Treatment tasks and check-ups</t>
  </si>
  <si>
    <t xml:space="preserve">Re-photograph later, before-and-after comparison</t>
  </si>
  <si>
    <t xml:space="preserve">3.14.5</t>
  </si>
  <si>
    <t xml:space="preserve">Spread warnings and bed flags</t>
  </si>
  <si>
    <t xml:space="preserve">Warn other beds; flag soil-borne diseases for rotation</t>
  </si>
  <si>
    <t xml:space="preserve">3.14.6</t>
  </si>
  <si>
    <t xml:space="preserve">Disease-risk warnings</t>
  </si>
  <si>
    <t xml:space="preserve">Weather-based risk, e.g. mildew</t>
  </si>
  <si>
    <t xml:space="preserve">3.14.7</t>
  </si>
  <si>
    <t xml:space="preserve">Seasonal scouting tasks</t>
  </si>
  <si>
    <t xml:space="preserve">"Check under the cabbage leaves this week"</t>
  </si>
  <si>
    <t xml:space="preserve">3.14.8</t>
  </si>
  <si>
    <t xml:space="preserve">Beneficial insects</t>
  </si>
  <si>
    <t xml:space="preserve">Recognise helpful insects so you don't kill them</t>
  </si>
  <si>
    <t xml:space="preserve">3.15.1</t>
  </si>
  <si>
    <t xml:space="preserve">Harvest readiness</t>
  </si>
  <si>
    <t xml:space="preserve">Photo verdict</t>
  </si>
  <si>
    <t xml:space="preserve">Not yet, soon, ready, past its best</t>
  </si>
  <si>
    <t xml:space="preserve">3.15.2</t>
  </si>
  <si>
    <t xml:space="preserve">Advance notice</t>
  </si>
  <si>
    <t xml:space="preserve">Harvest window approaching</t>
  </si>
  <si>
    <t xml:space="preserve">3.15.3</t>
  </si>
  <si>
    <t xml:space="preserve">Signs checklists</t>
  </si>
  <si>
    <t xml:space="preserve">Per crop, incl. "dig one up" for root crops</t>
  </si>
  <si>
    <t xml:space="preserve">3.15.4</t>
  </si>
  <si>
    <t xml:space="preserve">How to harvest</t>
  </si>
  <si>
    <t xml:space="preserve">Technique, time of day, keep plants producing</t>
  </si>
  <si>
    <t xml:space="preserve">3.15.5</t>
  </si>
  <si>
    <t xml:space="preserve">Weather-aware harvest timing</t>
  </si>
  <si>
    <t xml:space="preserve">e.g. pick before heavy rain</t>
  </si>
  <si>
    <t xml:space="preserve">3.15.6</t>
  </si>
  <si>
    <t xml:space="preserve">One-tap harvest logging</t>
  </si>
  <si>
    <t xml:space="preserve">Ready → harvested → quantity</t>
  </si>
  <si>
    <t xml:space="preserve">3.15.7</t>
  </si>
  <si>
    <t xml:space="preserve">Glut warning</t>
  </si>
  <si>
    <t xml:space="preserve">Peaks coming, ideas to preserve or give away</t>
  </si>
  <si>
    <t xml:space="preserve">3.15.8</t>
  </si>
  <si>
    <t xml:space="preserve">Storage and preserving guides</t>
  </si>
  <si>
    <t xml:space="preserve">How to store and preserve each crop</t>
  </si>
  <si>
    <t xml:space="preserve">3.15.9</t>
  </si>
  <si>
    <t xml:space="preserve">Seed saving</t>
  </si>
  <si>
    <t xml:space="preserve">Save seeds from your crops</t>
  </si>
  <si>
    <t xml:space="preserve">3.16.1</t>
  </si>
  <si>
    <t xml:space="preserve">Season planner</t>
  </si>
  <si>
    <t xml:space="preserve">Crops into beds</t>
  </si>
  <si>
    <t xml:space="preserve">Which crop in which bed, when, how many</t>
  </si>
  <si>
    <t xml:space="preserve">3.16.2</t>
  </si>
  <si>
    <t xml:space="preserve">Layout inside each bed</t>
  </si>
  <si>
    <t xml:space="preserve">Rows or grid with spacing</t>
  </si>
  <si>
    <t xml:space="preserve">3.16.3</t>
  </si>
  <si>
    <t xml:space="preserve">Year view per bed</t>
  </si>
  <si>
    <t xml:space="preserve">Gantt-style timeline, empty periods highlighted</t>
  </si>
  <si>
    <t xml:space="preserve">3.16.4</t>
  </si>
  <si>
    <t xml:space="preserve">Follow-on crops</t>
  </si>
  <si>
    <t xml:space="preserve">Next crop after a harvest in the same bed</t>
  </si>
  <si>
    <t xml:space="preserve">3.16.5</t>
  </si>
  <si>
    <t xml:space="preserve">Cover crops</t>
  </si>
  <si>
    <t xml:space="preserve">Green cover for empty beds</t>
  </si>
  <si>
    <t xml:space="preserve">3.16.6</t>
  </si>
  <si>
    <t xml:space="preserve">Crop rotation</t>
  </si>
  <si>
    <t xml:space="preserve">4-group rotation with warnings</t>
  </si>
  <si>
    <t xml:space="preserve">3.16.7</t>
  </si>
  <si>
    <t xml:space="preserve">Companion planting</t>
  </si>
  <si>
    <t xml:space="preserve">Pairings labelled by evidence level</t>
  </si>
  <si>
    <t xml:space="preserve">3.16.8</t>
  </si>
  <si>
    <t xml:space="preserve">Space check</t>
  </si>
  <si>
    <t xml:space="preserve">Warns when crops don't fit; must-haves first</t>
  </si>
  <si>
    <t xml:space="preserve">3.16.9</t>
  </si>
  <si>
    <t xml:space="preserve">Perennials</t>
  </si>
  <si>
    <t xml:space="preserve">Asparagus, strawberries, herbs, fruit trees stay put</t>
  </si>
  <si>
    <t xml:space="preserve">3.16.10</t>
  </si>
  <si>
    <t xml:space="preserve">Drag-and-drop editing</t>
  </si>
  <si>
    <t xml:space="preserve">Edit with live checks</t>
  </si>
  <si>
    <t xml:space="preserve">3.16.11</t>
  </si>
  <si>
    <t xml:space="preserve">Draft and active plans</t>
  </si>
  <si>
    <t xml:space="preserve">Plan next season while this one runs</t>
  </si>
  <si>
    <t xml:space="preserve">3.16.12</t>
  </si>
  <si>
    <t xml:space="preserve">Learning from last year</t>
  </si>
  <si>
    <t xml:space="preserve">Adjust from harvest log and notes</t>
  </si>
  <si>
    <t xml:space="preserve">3.16.13</t>
  </si>
  <si>
    <t xml:space="preserve">AI goals</t>
  </si>
  <si>
    <t xml:space="preserve">Optimise for most harvest, least work or least water</t>
  </si>
  <si>
    <t xml:space="preserve">3.17.1</t>
  </si>
  <si>
    <t xml:space="preserve">AI assistant</t>
  </si>
  <si>
    <t xml:space="preserve">Chat with garden context</t>
  </si>
  <si>
    <t xml:space="preserve">Answers about your garden, citing sources, in PT/EN</t>
  </si>
  <si>
    <t xml:space="preserve">3.17.2</t>
  </si>
  <si>
    <t xml:space="preserve">"Ask about this"</t>
  </si>
  <si>
    <t xml:space="preserve">Ask from any bed, plant, task, guide step or alert</t>
  </si>
  <si>
    <t xml:space="preserve">3.17.3</t>
  </si>
  <si>
    <t xml:space="preserve">Voice and photo input</t>
  </si>
  <si>
    <t xml:space="preserve">Speak or send photos in the chat</t>
  </si>
  <si>
    <t xml:space="preserve">3.17.4</t>
  </si>
  <si>
    <t xml:space="preserve">Hands-free voice mode</t>
  </si>
  <si>
    <t xml:space="preserve">Spoken answers in the field</t>
  </si>
  <si>
    <t xml:space="preserve">3.17.5</t>
  </si>
  <si>
    <t xml:space="preserve">Proposed actions</t>
  </si>
  <si>
    <t xml:space="preserve">Creates proposals you confirm; logged and undoable</t>
  </si>
  <si>
    <t xml:space="preserve">3.17.6</t>
  </si>
  <si>
    <t xml:space="preserve">Garden memory notes</t>
  </si>
  <si>
    <t xml:space="preserve">Facts it learns, visible and editable</t>
  </si>
  <si>
    <t xml:space="preserve">3.17.7</t>
  </si>
  <si>
    <t xml:space="preserve">Queued offline questions</t>
  </si>
  <si>
    <t xml:space="preserve">Answered when back online</t>
  </si>
  <si>
    <t xml:space="preserve">3.17.8</t>
  </si>
  <si>
    <t xml:space="preserve">History and search</t>
  </si>
  <si>
    <t xml:space="preserve">Past conversations</t>
  </si>
  <si>
    <t xml:space="preserve">3.17.9</t>
  </si>
  <si>
    <t xml:space="preserve">Answer feedback</t>
  </si>
  <si>
    <t xml:space="preserve">Thumbs up or down</t>
  </si>
  <si>
    <t xml:space="preserve">3.18.1</t>
  </si>
  <si>
    <t xml:space="preserve">Improvement suggestions</t>
  </si>
  <si>
    <t xml:space="preserve">Garden report</t>
  </si>
  <si>
    <t xml:space="preserve">Weekly stats: done, harvested, weather, photos, next week</t>
  </si>
  <si>
    <t xml:space="preserve">3.18.2</t>
  </si>
  <si>
    <t xml:space="preserve">AI suggestions with evidence</t>
  </si>
  <si>
    <t xml:space="preserve">Reason, evidence, impact and effort</t>
  </si>
  <si>
    <t xml:space="preserve">3.18.3</t>
  </si>
  <si>
    <t xml:space="preserve">Accept, dismiss, snooze</t>
  </si>
  <si>
    <t xml:space="preserve">Accept becomes a proposal; dismissals aren't repeated</t>
  </si>
  <si>
    <t xml:space="preserve">3.18.4</t>
  </si>
  <si>
    <t xml:space="preserve">Patterns over time</t>
  </si>
  <si>
    <t xml:space="preserve">Insights across weeks and seasons</t>
  </si>
  <si>
    <t xml:space="preserve">3.18.5</t>
  </si>
  <si>
    <t xml:space="preserve">End-of-season review</t>
  </si>
  <si>
    <t xml:space="preserve">Retrospective feeding next season's plan</t>
  </si>
  <si>
    <t xml:space="preserve">3.18.6</t>
  </si>
  <si>
    <t xml:space="preserve">Configurable frequency</t>
  </si>
  <si>
    <t xml:space="preserve">Weekly, fortnightly or monthly</t>
  </si>
  <si>
    <t xml:space="preserve">3.19.1</t>
  </si>
  <si>
    <t xml:space="preserve">App-wide</t>
  </si>
  <si>
    <t xml:space="preserve">"Today" home screen</t>
  </si>
  <si>
    <t xml:space="preserve">Next actions, tasks, alerts, forecast, proposals</t>
  </si>
  <si>
    <t xml:space="preserve">3.19.2</t>
  </si>
  <si>
    <t xml:space="preserve">First-run setup</t>
  </si>
  <si>
    <t xml:space="preserve">Guided flow from location to crops</t>
  </si>
  <si>
    <t xml:space="preserve">3.19.3</t>
  </si>
  <si>
    <t xml:space="preserve">Settings</t>
  </si>
  <si>
    <t xml:space="preserve">Language, units, notifications, preferences</t>
  </si>
  <si>
    <t xml:space="preserve">3.19.4</t>
  </si>
  <si>
    <t xml:space="preserve">AI usage meter</t>
  </si>
  <si>
    <t xml:space="preserve">See how much AI you've used</t>
  </si>
  <si>
    <t xml:space="preserve">3.19.5</t>
  </si>
  <si>
    <t xml:space="preserve">Photo and location privacy</t>
  </si>
  <si>
    <t xml:space="preserve">Strip GPS from photos; keep plot location private</t>
  </si>
  <si>
    <t xml:space="preserve">3.19.6</t>
  </si>
  <si>
    <t xml:space="preserve">Crash reporting and usage stats</t>
  </si>
  <si>
    <t xml:space="preserve">See problems and anonymous usage</t>
  </si>
  <si>
    <t xml:space="preserve">3.19.7</t>
  </si>
  <si>
    <t xml:space="preserve">Accessibility</t>
  </si>
  <si>
    <t xml:space="preserve">Larger text, VoiceOver, colour-blind-friendly colours</t>
  </si>
  <si>
    <t xml:space="preserve">3.19.8</t>
  </si>
  <si>
    <t xml:space="preserve">Home screen widgets</t>
  </si>
  <si>
    <t xml:space="preserve">Today's tasks and alerts</t>
  </si>
  <si>
    <t xml:space="preserve">3.19.9</t>
  </si>
  <si>
    <t xml:space="preserve">Apple Watch</t>
  </si>
  <si>
    <t xml:space="preserve">Quick logging from the watch</t>
  </si>
  <si>
    <t xml:space="preserve">3.19.10</t>
  </si>
  <si>
    <t xml:space="preserve">Siri shortcuts</t>
  </si>
  <si>
    <t xml:space="preserve">e.g. "log watering zone A"</t>
  </si>
  <si>
    <t xml:space="preserve">7.1</t>
  </si>
  <si>
    <t xml:space="preserve">Commercial readiness</t>
  </si>
  <si>
    <t xml:space="preserve">Freemium subscriptions</t>
  </si>
  <si>
    <t xml:space="preserve">App Store and Play subscriptions, tier limits</t>
  </si>
  <si>
    <t xml:space="preserve">Only when going commercial</t>
  </si>
  <si>
    <t xml:space="preserve">7.2</t>
  </si>
  <si>
    <t xml:space="preserve">Commercial data licences</t>
  </si>
  <si>
    <t xml:space="preserve">Weather and other data sources for commercial use</t>
  </si>
  <si>
    <t xml:space="preserve">7.3</t>
  </si>
  <si>
    <t xml:space="preserve">Expert review of guides</t>
  </si>
  <si>
    <t xml:space="preserve">Agronomist reviews all content</t>
  </si>
  <si>
    <t xml:space="preserve">7.4</t>
  </si>
  <si>
    <t xml:space="preserve">Commissioned illustrator</t>
  </si>
  <si>
    <t xml:space="preserve">Professional illustrations</t>
  </si>
  <si>
    <t xml:space="preserve">7.5</t>
  </si>
  <si>
    <t xml:space="preserve">Privacy policy, GDPR, store listings</t>
  </si>
  <si>
    <t xml:space="preserve">Legal and store preparation</t>
  </si>
  <si>
    <t xml:space="preserve">Not decided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</si>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</sst>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E3E"/>
        <bgColor rgb="FF333300"/>
      </patternFill>
    </fill>
    <fill>
      <patternFill patternType="solid">
        <fgColor rgb="FFE3EFE5"/>
        <bgColor rgb="FFEDEDED"/>
      </patternFill>
    </fill>
    <fill>
      <patternFill patternType="solid">
        <fgColor rgb="FFFFF5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E5E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FE5"/>
          <bgColor rgb="FF000000"/>
        </patternFill>
      </fill>
    </dxf>
    <dxf>
      <fill>
        <patternFill patternType="solid">
          <fgColor rgb="FFFFF5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5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FE5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26.8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26.8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8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customFormat="false" ht="26.85" hidden="false" customHeight="false" outlineLevel="0" collapsed="false">
      <c r="A2" s="4" t="s">
        <v>20</v>
      </c>
      <c r="B2" s="5" t="s">
        <v>21</v>
      </c>
      <c r="C2" s="6" t="s">
        <v>22</v>
      </c>
      <c r="D2" s="4" t="s">
        <v>23</v>
      </c>
      <c r="E2" s="7"/>
      <c r="F2" s="4" t="s">
        <v>24</v>
      </c>
      <c r="G2" s="7"/>
      <c r="H2" s="4" t="s">
        <v>25</v>
      </c>
    </row>
    <row r="3" customFormat="false" ht="26.85" hidden="false" customHeight="false" outlineLevel="0" collapsed="false">
      <c r="A3" s="4" t="s">
        <v>26</v>
      </c>
      <c r="B3" s="5" t="s">
        <v>21</v>
      </c>
      <c r="C3" s="6" t="s">
        <v>27</v>
      </c>
      <c r="D3" s="4" t="s">
        <v>28</v>
      </c>
      <c r="E3" s="7"/>
      <c r="F3" s="4" t="s">
        <v>24</v>
      </c>
      <c r="G3" s="7"/>
      <c r="H3" s="4" t="s">
        <v>29</v>
      </c>
    </row>
    <row r="4" customFormat="false" ht="26.85" hidden="false" customHeight="false" outlineLevel="0" collapsed="false">
      <c r="A4" s="4" t="s">
        <v>30</v>
      </c>
      <c r="B4" s="5" t="s">
        <v>21</v>
      </c>
      <c r="C4" s="6" t="s">
        <v>31</v>
      </c>
      <c r="D4" s="4" t="s">
        <v>32</v>
      </c>
      <c r="E4" s="7"/>
      <c r="F4" s="4" t="s">
        <v>24</v>
      </c>
      <c r="G4" s="7"/>
      <c r="H4" s="4" t="s">
        <v>33</v>
      </c>
    </row>
    <row r="5" customFormat="false" ht="26.85" hidden="false" customHeight="false" outlineLevel="0" collapsed="false">
      <c r="A5" s="4" t="s">
        <v>34</v>
      </c>
      <c r="B5" s="5" t="s">
        <v>21</v>
      </c>
      <c r="C5" s="6" t="s">
        <v>35</v>
      </c>
      <c r="D5" s="4" t="s">
        <v>36</v>
      </c>
      <c r="E5" s="7"/>
      <c r="F5" s="4" t="s">
        <v>24</v>
      </c>
      <c r="G5" s="7"/>
      <c r="H5" s="4" t="s">
        <v>37</v>
      </c>
    </row>
    <row r="6" customFormat="false" ht="26.85" hidden="false" customHeight="false" outlineLevel="0" collapsed="false">
      <c r="A6" s="4" t="s">
        <v>38</v>
      </c>
      <c r="B6" s="5" t="s">
        <v>21</v>
      </c>
      <c r="C6" s="6" t="s">
        <v>39</v>
      </c>
      <c r="D6" s="4" t="s">
        <v>40</v>
      </c>
      <c r="E6" s="7"/>
      <c r="F6" s="4" t="s">
        <v>24</v>
      </c>
      <c r="G6" s="7"/>
      <c r="H6" s="4" t="s">
        <v>41</v>
      </c>
    </row>
    <row r="7" customFormat="false" ht="26.85" hidden="false" customHeight="false" outlineLevel="0" collapsed="false">
      <c r="A7" s="4" t="s">
        <v>42</v>
      </c>
      <c r="B7" s="5" t="s">
        <v>21</v>
      </c>
      <c r="C7" s="6" t="s">
        <v>43</v>
      </c>
      <c r="D7" s="4" t="s">
        <v>44</v>
      </c>
      <c r="E7" s="7"/>
      <c r="F7" s="4" t="s">
        <v>24</v>
      </c>
      <c r="G7" s="7"/>
      <c r="H7" s="4" t="s">
        <v>45</v>
      </c>
    </row>
    <row r="8" customFormat="false" ht="15" hidden="false" customHeight="false" outlineLevel="0" collapsed="false">
      <c r="A8" s="4" t="s">
        <v>46</v>
      </c>
      <c r="B8" s="5" t="s">
        <v>21</v>
      </c>
      <c r="C8" s="6" t="s">
        <v>47</v>
      </c>
      <c r="D8" s="4" t="s">
        <v>48</v>
      </c>
      <c r="E8" s="7"/>
      <c r="F8" s="4" t="s">
        <v>49</v>
      </c>
      <c r="G8" s="7"/>
      <c r="H8" s="4" t="s">
        <v>50</v>
      </c>
    </row>
    <row r="9" customFormat="false" ht="26.85" hidden="false" customHeight="false" outlineLevel="0" collapsed="false">
      <c r="A9" s="4" t="s">
        <v>51</v>
      </c>
      <c r="B9" s="5" t="s">
        <v>52</v>
      </c>
      <c r="C9" s="6" t="s">
        <v>53</v>
      </c>
      <c r="D9" s="4" t="s">
        <v>54</v>
      </c>
      <c r="E9" s="7"/>
      <c r="F9" s="4" t="s">
        <v>24</v>
      </c>
      <c r="G9" s="7"/>
      <c r="H9" s="4"/>
    </row>
    <row r="10" customFormat="false" ht="15" hidden="false" customHeight="false" outlineLevel="0" collapsed="false">
      <c r="A10" s="4" t="s">
        <v>55</v>
      </c>
      <c r="B10" s="5" t="s">
        <v>52</v>
      </c>
      <c r="C10" s="6" t="s">
        <v>56</v>
      </c>
      <c r="D10" s="4" t="s">
        <v>57</v>
      </c>
      <c r="E10" s="7"/>
      <c r="F10" s="4" t="s">
        <v>49</v>
      </c>
      <c r="G10" s="7"/>
      <c r="H10" s="4"/>
    </row>
    <row r="11" customFormat="false" ht="26.85" hidden="false" customHeight="false" outlineLevel="0" collapsed="false">
      <c r="A11" s="4" t="s">
        <v>58</v>
      </c>
      <c r="B11" s="5" t="s">
        <v>52</v>
      </c>
      <c r="C11" s="6" t="s">
        <v>59</v>
      </c>
      <c r="D11" s="4" t="s">
        <v>60</v>
      </c>
      <c r="E11" s="7"/>
      <c r="F11" s="4" t="s">
        <v>24</v>
      </c>
      <c r="G11" s="7"/>
      <c r="H11" s="4"/>
    </row>
    <row r="12" customFormat="false" ht="26.85" hidden="false" customHeight="false" outlineLevel="0" collapsed="false">
      <c r="A12" s="4" t="s">
        <v>61</v>
      </c>
      <c r="B12" s="5" t="s">
        <v>52</v>
      </c>
      <c r="C12" s="6" t="s">
        <v>62</v>
      </c>
      <c r="D12" s="4" t="s">
        <v>63</v>
      </c>
      <c r="E12" s="7"/>
      <c r="F12" s="4" t="s">
        <v>24</v>
      </c>
      <c r="G12" s="7"/>
      <c r="H12" s="4"/>
    </row>
    <row r="13" customFormat="false" ht="26.85" hidden="false" customHeight="false" outlineLevel="0" collapsed="false">
      <c r="A13" s="4" t="s">
        <v>64</v>
      </c>
      <c r="B13" s="5" t="s">
        <v>52</v>
      </c>
      <c r="C13" s="6" t="s">
        <v>65</v>
      </c>
      <c r="D13" s="4" t="s">
        <v>66</v>
      </c>
      <c r="E13" s="7"/>
      <c r="F13" s="4" t="s">
        <v>24</v>
      </c>
      <c r="G13" s="7"/>
      <c r="H13" s="4"/>
    </row>
    <row r="14" customFormat="false" ht="15" hidden="false" customHeight="false" outlineLevel="0" collapsed="false">
      <c r="A14" s="4" t="s">
        <v>67</v>
      </c>
      <c r="B14" s="5" t="s">
        <v>52</v>
      </c>
      <c r="C14" s="6" t="s">
        <v>68</v>
      </c>
      <c r="D14" s="4" t="s">
        <v>69</v>
      </c>
      <c r="E14" s="7"/>
      <c r="F14" s="4" t="s">
        <v>49</v>
      </c>
      <c r="G14" s="7"/>
      <c r="H14" s="4"/>
    </row>
    <row r="15" customFormat="false" ht="26.85" hidden="false" customHeight="false" outlineLevel="0" collapsed="false">
      <c r="A15" s="4" t="s">
        <v>70</v>
      </c>
      <c r="B15" s="5" t="s">
        <v>52</v>
      </c>
      <c r="C15" s="6" t="s">
        <v>71</v>
      </c>
      <c r="D15" s="4" t="s">
        <v>72</v>
      </c>
      <c r="E15" s="7"/>
      <c r="F15" s="4" t="s">
        <v>24</v>
      </c>
      <c r="G15" s="7"/>
      <c r="H15" s="4"/>
    </row>
    <row r="16" customFormat="false" ht="26.85" hidden="false" customHeight="false" outlineLevel="0" collapsed="false">
      <c r="A16" s="4" t="s">
        <v>73</v>
      </c>
      <c r="B16" s="5" t="s">
        <v>52</v>
      </c>
      <c r="C16" s="6" t="s">
        <v>74</v>
      </c>
      <c r="D16" s="4" t="s">
        <v>75</v>
      </c>
      <c r="E16" s="7"/>
      <c r="F16" s="4" t="s">
        <v>76</v>
      </c>
      <c r="G16" s="7"/>
      <c r="H16" s="4"/>
    </row>
    <row r="17" customFormat="false" ht="26.85" hidden="false" customHeight="false" outlineLevel="0" collapsed="false">
      <c r="A17" s="4" t="s">
        <v>77</v>
      </c>
      <c r="B17" s="5" t="s">
        <v>78</v>
      </c>
      <c r="C17" s="6" t="s">
        <v>79</v>
      </c>
      <c r="D17" s="4" t="s">
        <v>80</v>
      </c>
      <c r="E17" s="7"/>
      <c r="F17" s="4" t="s">
        <v>24</v>
      </c>
      <c r="G17" s="7"/>
      <c r="H17" s="4"/>
    </row>
    <row r="18" customFormat="false" ht="15" hidden="false" customHeight="false" outlineLevel="0" collapsed="false">
      <c r="A18" s="4" t="s">
        <v>81</v>
      </c>
      <c r="B18" s="5" t="s">
        <v>78</v>
      </c>
      <c r="C18" s="6" t="s">
        <v>82</v>
      </c>
      <c r="D18" s="4" t="s">
        <v>83</v>
      </c>
      <c r="E18" s="7"/>
      <c r="F18" s="4" t="s">
        <v>49</v>
      </c>
      <c r="G18" s="7"/>
      <c r="H18" s="4"/>
    </row>
    <row r="19" customFormat="false" ht="15" hidden="false" customHeight="false" outlineLevel="0" collapsed="false">
      <c r="A19" s="4" t="s">
        <v>84</v>
      </c>
      <c r="B19" s="5" t="s">
        <v>78</v>
      </c>
      <c r="C19" s="6" t="s">
        <v>85</v>
      </c>
      <c r="D19" s="4" t="s">
        <v>86</v>
      </c>
      <c r="E19" s="7"/>
      <c r="F19" s="4" t="s">
        <v>24</v>
      </c>
      <c r="G19" s="7"/>
      <c r="H19" s="4"/>
    </row>
    <row r="20" customFormat="false" ht="26.85" hidden="false" customHeight="false" outlineLevel="0" collapsed="false">
      <c r="A20" s="4" t="s">
        <v>87</v>
      </c>
      <c r="B20" s="5" t="s">
        <v>78</v>
      </c>
      <c r="C20" s="6" t="s">
        <v>88</v>
      </c>
      <c r="D20" s="4" t="s">
        <v>89</v>
      </c>
      <c r="E20" s="7"/>
      <c r="F20" s="4" t="s">
        <v>24</v>
      </c>
      <c r="G20" s="7"/>
      <c r="H20" s="4" t="s">
        <v>90</v>
      </c>
    </row>
    <row r="21" customFormat="false" ht="26.85" hidden="false" customHeight="false" outlineLevel="0" collapsed="false">
      <c r="A21" s="4" t="s">
        <v>91</v>
      </c>
      <c r="B21" s="5" t="s">
        <v>78</v>
      </c>
      <c r="C21" s="6" t="s">
        <v>92</v>
      </c>
      <c r="D21" s="4" t="s">
        <v>93</v>
      </c>
      <c r="E21" s="7"/>
      <c r="F21" s="4" t="s">
        <v>24</v>
      </c>
      <c r="G21" s="7"/>
      <c r="H21" s="4"/>
    </row>
    <row r="22" customFormat="false" ht="26.85" hidden="false" customHeight="false" outlineLevel="0" collapsed="false">
      <c r="A22" s="4" t="s">
        <v>94</v>
      </c>
      <c r="B22" s="5" t="s">
        <v>78</v>
      </c>
      <c r="C22" s="6" t="s">
        <v>95</v>
      </c>
      <c r="D22" s="4" t="s">
        <v>96</v>
      </c>
      <c r="E22" s="7"/>
      <c r="F22" s="4" t="s">
        <v>49</v>
      </c>
      <c r="G22" s="7"/>
      <c r="H22" s="4"/>
    </row>
    <row r="23" customFormat="false" ht="26.85" hidden="false" customHeight="false" outlineLevel="0" collapsed="false">
      <c r="A23" s="4" t="s">
        <v>97</v>
      </c>
      <c r="B23" s="5" t="s">
        <v>78</v>
      </c>
      <c r="C23" s="6" t="s">
        <v>98</v>
      </c>
      <c r="D23" s="4" t="s">
        <v>99</v>
      </c>
      <c r="E23" s="7"/>
      <c r="F23" s="4" t="s">
        <v>49</v>
      </c>
      <c r="G23" s="7"/>
      <c r="H23" s="4"/>
    </row>
    <row r="24" customFormat="false" ht="26.85" hidden="false" customHeight="false" outlineLevel="0" collapsed="false">
      <c r="A24" s="4" t="s">
        <v>100</v>
      </c>
      <c r="B24" s="5" t="s">
        <v>78</v>
      </c>
      <c r="C24" s="6" t="s">
        <v>101</v>
      </c>
      <c r="D24" s="4" t="s">
        <v>102</v>
      </c>
      <c r="E24" s="7"/>
      <c r="F24" s="4" t="s">
        <v>76</v>
      </c>
      <c r="G24" s="7"/>
      <c r="H24" s="4"/>
    </row>
    <row r="25" customFormat="false" ht="15" hidden="false" customHeight="false" outlineLevel="0" collapsed="false">
      <c r="A25" s="4" t="s">
        <v>103</v>
      </c>
      <c r="B25" s="5" t="s">
        <v>78</v>
      </c>
      <c r="C25" s="6" t="s">
        <v>104</v>
      </c>
      <c r="D25" s="4" t="s">
        <v>105</v>
      </c>
      <c r="E25" s="7"/>
      <c r="F25" s="4" t="s">
        <v>24</v>
      </c>
      <c r="G25" s="7"/>
      <c r="H25" s="4"/>
    </row>
    <row r="26" customFormat="false" ht="15" hidden="false" customHeight="false" outlineLevel="0" collapsed="false">
      <c r="A26" s="4" t="s">
        <v>106</v>
      </c>
      <c r="B26" s="5" t="s">
        <v>78</v>
      </c>
      <c r="C26" s="6" t="s">
        <v>107</v>
      </c>
      <c r="D26" s="4" t="s">
        <v>108</v>
      </c>
      <c r="E26" s="7"/>
      <c r="F26" s="4" t="s">
        <v>49</v>
      </c>
      <c r="G26" s="7"/>
      <c r="H26" s="4"/>
    </row>
    <row r="27" customFormat="false" ht="15" hidden="false" customHeight="false" outlineLevel="0" collapsed="false">
      <c r="A27" s="4" t="s">
        <v>109</v>
      </c>
      <c r="B27" s="5" t="s">
        <v>78</v>
      </c>
      <c r="C27" s="6" t="s">
        <v>110</v>
      </c>
      <c r="D27" s="4" t="s">
        <v>111</v>
      </c>
      <c r="E27" s="7"/>
      <c r="F27" s="4" t="s">
        <v>49</v>
      </c>
      <c r="G27" s="7"/>
      <c r="H27" s="4" t="s">
        <v>112</v>
      </c>
    </row>
    <row r="28" customFormat="false" ht="26.85" hidden="false" customHeight="false" outlineLevel="0" collapsed="false">
      <c r="A28" s="4" t="s">
        <v>113</v>
      </c>
      <c r="B28" s="5" t="s">
        <v>78</v>
      </c>
      <c r="C28" s="6" t="s">
        <v>114</v>
      </c>
      <c r="D28" s="4" t="s">
        <v>115</v>
      </c>
      <c r="E28" s="7"/>
      <c r="F28" s="4" t="s">
        <v>76</v>
      </c>
      <c r="G28" s="7"/>
      <c r="H28" s="4" t="s">
        <v>116</v>
      </c>
    </row>
    <row r="29" customFormat="false" ht="26.85" hidden="false" customHeight="false" outlineLevel="0" collapsed="false">
      <c r="A29" s="4" t="s">
        <v>117</v>
      </c>
      <c r="B29" s="5" t="s">
        <v>118</v>
      </c>
      <c r="C29" s="6" t="s">
        <v>119</v>
      </c>
      <c r="D29" s="4" t="s">
        <v>120</v>
      </c>
      <c r="E29" s="7"/>
      <c r="F29" s="4" t="s">
        <v>24</v>
      </c>
      <c r="G29" s="7"/>
      <c r="H29" s="4"/>
    </row>
    <row r="30" customFormat="false" ht="26.85" hidden="false" customHeight="false" outlineLevel="0" collapsed="false">
      <c r="A30" s="4" t="s">
        <v>121</v>
      </c>
      <c r="B30" s="5" t="s">
        <v>118</v>
      </c>
      <c r="C30" s="6" t="s">
        <v>122</v>
      </c>
      <c r="D30" s="4" t="s">
        <v>123</v>
      </c>
      <c r="E30" s="7"/>
      <c r="F30" s="4" t="s">
        <v>49</v>
      </c>
      <c r="G30" s="7"/>
      <c r="H30" s="4"/>
    </row>
    <row r="31" customFormat="false" ht="26.85" hidden="false" customHeight="false" outlineLevel="0" collapsed="false">
      <c r="A31" s="4" t="s">
        <v>124</v>
      </c>
      <c r="B31" s="5" t="s">
        <v>118</v>
      </c>
      <c r="C31" s="6" t="s">
        <v>125</v>
      </c>
      <c r="D31" s="4" t="s">
        <v>126</v>
      </c>
      <c r="E31" s="7"/>
      <c r="F31" s="4" t="s">
        <v>49</v>
      </c>
      <c r="G31" s="7"/>
      <c r="H31" s="4"/>
    </row>
    <row r="32" customFormat="false" ht="26.85" hidden="false" customHeight="false" outlineLevel="0" collapsed="false">
      <c r="A32" s="4" t="s">
        <v>127</v>
      </c>
      <c r="B32" s="5" t="s">
        <v>118</v>
      </c>
      <c r="C32" s="6" t="s">
        <v>128</v>
      </c>
      <c r="D32" s="4" t="s">
        <v>129</v>
      </c>
      <c r="E32" s="7"/>
      <c r="F32" s="4" t="s">
        <v>76</v>
      </c>
      <c r="G32" s="7"/>
      <c r="H32" s="4"/>
    </row>
    <row r="33" customFormat="false" ht="26.85" hidden="false" customHeight="false" outlineLevel="0" collapsed="false">
      <c r="A33" s="4" t="s">
        <v>130</v>
      </c>
      <c r="B33" s="5" t="s">
        <v>118</v>
      </c>
      <c r="C33" s="6" t="s">
        <v>131</v>
      </c>
      <c r="D33" s="4" t="s">
        <v>132</v>
      </c>
      <c r="E33" s="7"/>
      <c r="F33" s="4" t="s">
        <v>49</v>
      </c>
      <c r="G33" s="7"/>
      <c r="H33" s="4"/>
    </row>
    <row r="34" customFormat="false" ht="15" hidden="false" customHeight="false" outlineLevel="0" collapsed="false">
      <c r="A34" s="4" t="s">
        <v>133</v>
      </c>
      <c r="B34" s="5" t="s">
        <v>118</v>
      </c>
      <c r="C34" s="6" t="s">
        <v>134</v>
      </c>
      <c r="D34" s="4" t="s">
        <v>135</v>
      </c>
      <c r="E34" s="7"/>
      <c r="F34" s="4" t="s">
        <v>49</v>
      </c>
      <c r="G34" s="7"/>
      <c r="H34" s="4"/>
    </row>
    <row r="35" customFormat="false" ht="26.85" hidden="false" customHeight="false" outlineLevel="0" collapsed="false">
      <c r="A35" s="4" t="s">
        <v>136</v>
      </c>
      <c r="B35" s="5" t="s">
        <v>137</v>
      </c>
      <c r="C35" s="6" t="s">
        <v>138</v>
      </c>
      <c r="D35" s="4" t="s">
        <v>139</v>
      </c>
      <c r="E35" s="7"/>
      <c r="F35" s="4" t="s">
        <v>24</v>
      </c>
      <c r="G35" s="7"/>
      <c r="H35" s="4"/>
    </row>
    <row r="36" customFormat="false" ht="15" hidden="false" customHeight="false" outlineLevel="0" collapsed="false">
      <c r="A36" s="4" t="s">
        <v>140</v>
      </c>
      <c r="B36" s="5" t="s">
        <v>137</v>
      </c>
      <c r="C36" s="6" t="s">
        <v>141</v>
      </c>
      <c r="D36" s="4" t="s">
        <v>142</v>
      </c>
      <c r="E36" s="7"/>
      <c r="F36" s="4" t="s">
        <v>24</v>
      </c>
      <c r="G36" s="7"/>
      <c r="H36" s="4" t="s">
        <v>143</v>
      </c>
    </row>
    <row r="37" customFormat="false" ht="26.85" hidden="false" customHeight="false" outlineLevel="0" collapsed="false">
      <c r="A37" s="4" t="s">
        <v>144</v>
      </c>
      <c r="B37" s="5" t="s">
        <v>137</v>
      </c>
      <c r="C37" s="6" t="s">
        <v>145</v>
      </c>
      <c r="D37" s="4" t="s">
        <v>146</v>
      </c>
      <c r="E37" s="7"/>
      <c r="F37" s="4" t="s">
        <v>24</v>
      </c>
      <c r="G37" s="7"/>
      <c r="H37" s="4"/>
    </row>
    <row r="38" customFormat="false" ht="15" hidden="false" customHeight="false" outlineLevel="0" collapsed="false">
      <c r="A38" s="4" t="s">
        <v>147</v>
      </c>
      <c r="B38" s="5" t="s">
        <v>137</v>
      </c>
      <c r="C38" s="6" t="s">
        <v>148</v>
      </c>
      <c r="D38" s="4" t="s">
        <v>149</v>
      </c>
      <c r="E38" s="7"/>
      <c r="F38" s="4" t="s">
        <v>49</v>
      </c>
      <c r="G38" s="7"/>
      <c r="H38" s="4"/>
    </row>
    <row r="39" customFormat="false" ht="26.85" hidden="false" customHeight="false" outlineLevel="0" collapsed="false">
      <c r="A39" s="4" t="s">
        <v>150</v>
      </c>
      <c r="B39" s="5" t="s">
        <v>137</v>
      </c>
      <c r="C39" s="6" t="s">
        <v>151</v>
      </c>
      <c r="D39" s="4" t="s">
        <v>152</v>
      </c>
      <c r="E39" s="7"/>
      <c r="F39" s="4" t="s">
        <v>49</v>
      </c>
      <c r="G39" s="7"/>
      <c r="H39" s="4"/>
    </row>
    <row r="40" customFormat="false" ht="15" hidden="false" customHeight="false" outlineLevel="0" collapsed="false">
      <c r="A40" s="4" t="s">
        <v>153</v>
      </c>
      <c r="B40" s="5" t="s">
        <v>137</v>
      </c>
      <c r="C40" s="6" t="s">
        <v>154</v>
      </c>
      <c r="D40" s="4" t="s">
        <v>155</v>
      </c>
      <c r="E40" s="7"/>
      <c r="F40" s="4" t="s">
        <v>49</v>
      </c>
      <c r="G40" s="7"/>
      <c r="H40" s="4"/>
    </row>
    <row r="41" customFormat="false" ht="26.85" hidden="false" customHeight="false" outlineLevel="0" collapsed="false">
      <c r="A41" s="4" t="s">
        <v>156</v>
      </c>
      <c r="B41" s="5" t="s">
        <v>137</v>
      </c>
      <c r="C41" s="6" t="s">
        <v>157</v>
      </c>
      <c r="D41" s="4" t="s">
        <v>158</v>
      </c>
      <c r="E41" s="7"/>
      <c r="F41" s="4" t="s">
        <v>49</v>
      </c>
      <c r="G41" s="7"/>
      <c r="H41" s="4"/>
    </row>
    <row r="42" customFormat="false" ht="26.85" hidden="false" customHeight="false" outlineLevel="0" collapsed="false">
      <c r="A42" s="4" t="s">
        <v>159</v>
      </c>
      <c r="B42" s="5" t="s">
        <v>137</v>
      </c>
      <c r="C42" s="6" t="s">
        <v>160</v>
      </c>
      <c r="D42" s="4" t="s">
        <v>161</v>
      </c>
      <c r="E42" s="7"/>
      <c r="F42" s="4" t="s">
        <v>49</v>
      </c>
      <c r="G42" s="7"/>
      <c r="H42" s="4"/>
    </row>
    <row r="43" customFormat="false" ht="26.85" hidden="false" customHeight="false" outlineLevel="0" collapsed="false">
      <c r="A43" s="4" t="s">
        <v>162</v>
      </c>
      <c r="B43" s="5" t="s">
        <v>137</v>
      </c>
      <c r="C43" s="6" t="s">
        <v>163</v>
      </c>
      <c r="D43" s="4" t="s">
        <v>164</v>
      </c>
      <c r="E43" s="7"/>
      <c r="F43" s="4" t="s">
        <v>49</v>
      </c>
      <c r="G43" s="7"/>
      <c r="H43" s="4"/>
    </row>
    <row r="44" customFormat="false" ht="26.85" hidden="false" customHeight="false" outlineLevel="0" collapsed="false">
      <c r="A44" s="4" t="s">
        <v>165</v>
      </c>
      <c r="B44" s="5" t="s">
        <v>137</v>
      </c>
      <c r="C44" s="6" t="s">
        <v>166</v>
      </c>
      <c r="D44" s="4" t="s">
        <v>167</v>
      </c>
      <c r="E44" s="7"/>
      <c r="F44" s="4" t="s">
        <v>76</v>
      </c>
      <c r="G44" s="7"/>
      <c r="H44" s="4"/>
    </row>
    <row r="45" customFormat="false" ht="15" hidden="false" customHeight="false" outlineLevel="0" collapsed="false">
      <c r="A45" s="4" t="s">
        <v>168</v>
      </c>
      <c r="B45" s="5" t="s">
        <v>169</v>
      </c>
      <c r="C45" s="6" t="s">
        <v>170</v>
      </c>
      <c r="D45" s="4" t="s">
        <v>171</v>
      </c>
      <c r="E45" s="7"/>
      <c r="F45" s="4" t="s">
        <v>24</v>
      </c>
      <c r="G45" s="7"/>
      <c r="H45" s="4"/>
    </row>
    <row r="46" customFormat="false" ht="15" hidden="false" customHeight="false" outlineLevel="0" collapsed="false">
      <c r="A46" s="4" t="s">
        <v>172</v>
      </c>
      <c r="B46" s="5" t="s">
        <v>169</v>
      </c>
      <c r="C46" s="6" t="s">
        <v>173</v>
      </c>
      <c r="D46" s="4" t="s">
        <v>174</v>
      </c>
      <c r="E46" s="7"/>
      <c r="F46" s="4" t="s">
        <v>24</v>
      </c>
      <c r="G46" s="7"/>
      <c r="H46" s="4"/>
    </row>
    <row r="47" customFormat="false" ht="15" hidden="false" customHeight="false" outlineLevel="0" collapsed="false">
      <c r="A47" s="4" t="s">
        <v>175</v>
      </c>
      <c r="B47" s="5" t="s">
        <v>169</v>
      </c>
      <c r="C47" s="6" t="s">
        <v>176</v>
      </c>
      <c r="D47" s="4" t="s">
        <v>177</v>
      </c>
      <c r="E47" s="7"/>
      <c r="F47" s="4" t="s">
        <v>24</v>
      </c>
      <c r="G47" s="7"/>
      <c r="H47" s="4"/>
    </row>
    <row r="48" customFormat="false" ht="26.85" hidden="false" customHeight="false" outlineLevel="0" collapsed="false">
      <c r="A48" s="4" t="s">
        <v>178</v>
      </c>
      <c r="B48" s="5" t="s">
        <v>169</v>
      </c>
      <c r="C48" s="6" t="s">
        <v>179</v>
      </c>
      <c r="D48" s="4" t="s">
        <v>180</v>
      </c>
      <c r="E48" s="7"/>
      <c r="F48" s="4" t="s">
        <v>49</v>
      </c>
      <c r="G48" s="7"/>
      <c r="H48" s="4"/>
    </row>
    <row r="49" customFormat="false" ht="26.85" hidden="false" customHeight="false" outlineLevel="0" collapsed="false">
      <c r="A49" s="4" t="s">
        <v>181</v>
      </c>
      <c r="B49" s="5" t="s">
        <v>169</v>
      </c>
      <c r="C49" s="6" t="s">
        <v>182</v>
      </c>
      <c r="D49" s="4" t="s">
        <v>183</v>
      </c>
      <c r="E49" s="7"/>
      <c r="F49" s="4" t="s">
        <v>76</v>
      </c>
      <c r="G49" s="7"/>
      <c r="H49" s="4"/>
    </row>
    <row r="50" customFormat="false" ht="26.85" hidden="false" customHeight="false" outlineLevel="0" collapsed="false">
      <c r="A50" s="4" t="s">
        <v>184</v>
      </c>
      <c r="B50" s="5" t="s">
        <v>185</v>
      </c>
      <c r="C50" s="6" t="s">
        <v>186</v>
      </c>
      <c r="D50" s="4" t="s">
        <v>187</v>
      </c>
      <c r="E50" s="7"/>
      <c r="F50" s="4" t="s">
        <v>24</v>
      </c>
      <c r="G50" s="7"/>
      <c r="H50" s="4"/>
    </row>
    <row r="51" customFormat="false" ht="26.85" hidden="false" customHeight="false" outlineLevel="0" collapsed="false">
      <c r="A51" s="4" t="s">
        <v>188</v>
      </c>
      <c r="B51" s="5" t="s">
        <v>185</v>
      </c>
      <c r="C51" s="6" t="s">
        <v>189</v>
      </c>
      <c r="D51" s="4" t="s">
        <v>190</v>
      </c>
      <c r="E51" s="7"/>
      <c r="F51" s="4" t="s">
        <v>24</v>
      </c>
      <c r="G51" s="7"/>
      <c r="H51" s="4"/>
    </row>
    <row r="52" customFormat="false" ht="26.85" hidden="false" customHeight="false" outlineLevel="0" collapsed="false">
      <c r="A52" s="4" t="s">
        <v>191</v>
      </c>
      <c r="B52" s="5" t="s">
        <v>185</v>
      </c>
      <c r="C52" s="6" t="s">
        <v>192</v>
      </c>
      <c r="D52" s="4" t="s">
        <v>193</v>
      </c>
      <c r="E52" s="7"/>
      <c r="F52" s="4" t="s">
        <v>24</v>
      </c>
      <c r="G52" s="7"/>
      <c r="H52" s="4"/>
    </row>
    <row r="53" customFormat="false" ht="15" hidden="false" customHeight="false" outlineLevel="0" collapsed="false">
      <c r="A53" s="4" t="s">
        <v>194</v>
      </c>
      <c r="B53" s="5" t="s">
        <v>185</v>
      </c>
      <c r="C53" s="6" t="s">
        <v>195</v>
      </c>
      <c r="D53" s="4" t="s">
        <v>196</v>
      </c>
      <c r="E53" s="7"/>
      <c r="F53" s="4" t="s">
        <v>24</v>
      </c>
      <c r="G53" s="7"/>
      <c r="H53" s="4"/>
    </row>
    <row r="54" customFormat="false" ht="15" hidden="false" customHeight="false" outlineLevel="0" collapsed="false">
      <c r="A54" s="4" t="s">
        <v>197</v>
      </c>
      <c r="B54" s="5" t="s">
        <v>185</v>
      </c>
      <c r="C54" s="6" t="s">
        <v>198</v>
      </c>
      <c r="D54" s="4" t="s">
        <v>199</v>
      </c>
      <c r="E54" s="7"/>
      <c r="F54" s="4" t="s">
        <v>49</v>
      </c>
      <c r="G54" s="7"/>
      <c r="H54" s="4"/>
    </row>
    <row r="55" customFormat="false" ht="26.85" hidden="false" customHeight="false" outlineLevel="0" collapsed="false">
      <c r="A55" s="4" t="s">
        <v>200</v>
      </c>
      <c r="B55" s="5" t="s">
        <v>185</v>
      </c>
      <c r="C55" s="6" t="s">
        <v>201</v>
      </c>
      <c r="D55" s="4" t="s">
        <v>202</v>
      </c>
      <c r="E55" s="7"/>
      <c r="F55" s="4" t="s">
        <v>49</v>
      </c>
      <c r="G55" s="7"/>
      <c r="H55" s="4"/>
    </row>
    <row r="56" customFormat="false" ht="26.85" hidden="false" customHeight="false" outlineLevel="0" collapsed="false">
      <c r="A56" s="4" t="s">
        <v>203</v>
      </c>
      <c r="B56" s="5" t="s">
        <v>185</v>
      </c>
      <c r="C56" s="6" t="s">
        <v>204</v>
      </c>
      <c r="D56" s="4" t="s">
        <v>205</v>
      </c>
      <c r="E56" s="7"/>
      <c r="F56" s="4" t="s">
        <v>49</v>
      </c>
      <c r="G56" s="7"/>
      <c r="H56" s="4"/>
    </row>
    <row r="57" customFormat="false" ht="15" hidden="false" customHeight="false" outlineLevel="0" collapsed="false">
      <c r="A57" s="4" t="s">
        <v>206</v>
      </c>
      <c r="B57" s="5" t="s">
        <v>185</v>
      </c>
      <c r="C57" s="6" t="s">
        <v>207</v>
      </c>
      <c r="D57" s="4" t="s">
        <v>208</v>
      </c>
      <c r="E57" s="7"/>
      <c r="F57" s="4" t="s">
        <v>49</v>
      </c>
      <c r="G57" s="7"/>
      <c r="H57" s="4"/>
    </row>
    <row r="58" customFormat="false" ht="26.85" hidden="false" customHeight="false" outlineLevel="0" collapsed="false">
      <c r="A58" s="4" t="s">
        <v>209</v>
      </c>
      <c r="B58" s="5" t="s">
        <v>185</v>
      </c>
      <c r="C58" s="6" t="s">
        <v>210</v>
      </c>
      <c r="D58" s="4" t="s">
        <v>211</v>
      </c>
      <c r="E58" s="7"/>
      <c r="F58" s="4" t="s">
        <v>76</v>
      </c>
      <c r="G58" s="7"/>
      <c r="H58" s="4"/>
    </row>
    <row r="59" customFormat="false" ht="26.85" hidden="false" customHeight="false" outlineLevel="0" collapsed="false">
      <c r="A59" s="4" t="s">
        <v>212</v>
      </c>
      <c r="B59" s="5" t="s">
        <v>185</v>
      </c>
      <c r="C59" s="6" t="s">
        <v>213</v>
      </c>
      <c r="D59" s="4" t="s">
        <v>214</v>
      </c>
      <c r="E59" s="7"/>
      <c r="F59" s="4" t="s">
        <v>76</v>
      </c>
      <c r="G59" s="7"/>
      <c r="H59" s="4"/>
    </row>
    <row r="60" customFormat="false" ht="15" hidden="false" customHeight="false" outlineLevel="0" collapsed="false">
      <c r="A60" s="4" t="s">
        <v>215</v>
      </c>
      <c r="B60" s="5" t="s">
        <v>185</v>
      </c>
      <c r="C60" s="6" t="s">
        <v>216</v>
      </c>
      <c r="D60" s="4" t="s">
        <v>217</v>
      </c>
      <c r="E60" s="7"/>
      <c r="F60" s="4" t="s">
        <v>24</v>
      </c>
      <c r="G60" s="7"/>
      <c r="H60" s="4"/>
    </row>
    <row r="61" customFormat="false" ht="15" hidden="false" customHeight="false" outlineLevel="0" collapsed="false">
      <c r="A61" s="4" t="s">
        <v>218</v>
      </c>
      <c r="B61" s="5" t="s">
        <v>185</v>
      </c>
      <c r="C61" s="6" t="s">
        <v>219</v>
      </c>
      <c r="D61" s="4" t="s">
        <v>220</v>
      </c>
      <c r="E61" s="7"/>
      <c r="F61" s="4" t="s">
        <v>49</v>
      </c>
      <c r="G61" s="7"/>
      <c r="H61" s="4"/>
    </row>
    <row r="62" customFormat="false" ht="26.85" hidden="false" customHeight="false" outlineLevel="0" collapsed="false">
      <c r="A62" s="4" t="s">
        <v>221</v>
      </c>
      <c r="B62" s="5" t="s">
        <v>185</v>
      </c>
      <c r="C62" s="6" t="s">
        <v>222</v>
      </c>
      <c r="D62" s="4" t="s">
        <v>223</v>
      </c>
      <c r="E62" s="7"/>
      <c r="F62" s="4" t="s">
        <v>49</v>
      </c>
      <c r="G62" s="7"/>
      <c r="H62" s="4"/>
    </row>
    <row r="63" customFormat="false" ht="26.85" hidden="false" customHeight="false" outlineLevel="0" collapsed="false">
      <c r="A63" s="4" t="s">
        <v>224</v>
      </c>
      <c r="B63" s="5" t="s">
        <v>185</v>
      </c>
      <c r="C63" s="6" t="s">
        <v>225</v>
      </c>
      <c r="D63" s="4" t="s">
        <v>226</v>
      </c>
      <c r="E63" s="7"/>
      <c r="F63" s="4" t="s">
        <v>76</v>
      </c>
      <c r="G63" s="7"/>
      <c r="H63" s="4" t="s">
        <v>116</v>
      </c>
    </row>
    <row r="64" customFormat="false" ht="26.85" hidden="false" customHeight="false" outlineLevel="0" collapsed="false">
      <c r="A64" s="4" t="s">
        <v>227</v>
      </c>
      <c r="B64" s="5" t="s">
        <v>228</v>
      </c>
      <c r="C64" s="6" t="s">
        <v>229</v>
      </c>
      <c r="D64" s="4" t="s">
        <v>230</v>
      </c>
      <c r="E64" s="7"/>
      <c r="F64" s="4" t="s">
        <v>24</v>
      </c>
      <c r="G64" s="7"/>
      <c r="H64" s="4"/>
    </row>
    <row r="65" customFormat="false" ht="15" hidden="false" customHeight="false" outlineLevel="0" collapsed="false">
      <c r="A65" s="4" t="s">
        <v>231</v>
      </c>
      <c r="B65" s="5" t="s">
        <v>228</v>
      </c>
      <c r="C65" s="6" t="s">
        <v>232</v>
      </c>
      <c r="D65" s="4" t="s">
        <v>233</v>
      </c>
      <c r="E65" s="7"/>
      <c r="F65" s="4" t="s">
        <v>24</v>
      </c>
      <c r="G65" s="7"/>
      <c r="H65" s="4"/>
    </row>
    <row r="66" customFormat="false" ht="15" hidden="false" customHeight="false" outlineLevel="0" collapsed="false">
      <c r="A66" s="4" t="s">
        <v>234</v>
      </c>
      <c r="B66" s="5" t="s">
        <v>228</v>
      </c>
      <c r="C66" s="6" t="s">
        <v>235</v>
      </c>
      <c r="D66" s="4" t="s">
        <v>236</v>
      </c>
      <c r="E66" s="7"/>
      <c r="F66" s="4" t="s">
        <v>49</v>
      </c>
      <c r="G66" s="7"/>
      <c r="H66" s="4"/>
    </row>
    <row r="67" customFormat="false" ht="15" hidden="false" customHeight="false" outlineLevel="0" collapsed="false">
      <c r="A67" s="4" t="s">
        <v>237</v>
      </c>
      <c r="B67" s="5" t="s">
        <v>228</v>
      </c>
      <c r="C67" s="6" t="s">
        <v>238</v>
      </c>
      <c r="D67" s="4" t="s">
        <v>239</v>
      </c>
      <c r="E67" s="7"/>
      <c r="F67" s="4" t="s">
        <v>24</v>
      </c>
      <c r="G67" s="7"/>
      <c r="H67" s="4"/>
    </row>
    <row r="68" customFormat="false" ht="15" hidden="false" customHeight="false" outlineLevel="0" collapsed="false">
      <c r="A68" s="4" t="s">
        <v>240</v>
      </c>
      <c r="B68" s="5" t="s">
        <v>228</v>
      </c>
      <c r="C68" s="6" t="s">
        <v>241</v>
      </c>
      <c r="D68" s="4" t="s">
        <v>242</v>
      </c>
      <c r="E68" s="7"/>
      <c r="F68" s="4" t="s">
        <v>49</v>
      </c>
      <c r="G68" s="7"/>
      <c r="H68" s="4"/>
    </row>
    <row r="69" customFormat="false" ht="15" hidden="false" customHeight="false" outlineLevel="0" collapsed="false">
      <c r="A69" s="4" t="s">
        <v>243</v>
      </c>
      <c r="B69" s="5" t="s">
        <v>228</v>
      </c>
      <c r="C69" s="6" t="s">
        <v>244</v>
      </c>
      <c r="D69" s="4" t="s">
        <v>245</v>
      </c>
      <c r="E69" s="7"/>
      <c r="F69" s="4" t="s">
        <v>24</v>
      </c>
      <c r="G69" s="7"/>
      <c r="H69" s="4"/>
    </row>
    <row r="70" customFormat="false" ht="15" hidden="false" customHeight="false" outlineLevel="0" collapsed="false">
      <c r="A70" s="4" t="s">
        <v>246</v>
      </c>
      <c r="B70" s="5" t="s">
        <v>228</v>
      </c>
      <c r="C70" s="6" t="s">
        <v>247</v>
      </c>
      <c r="D70" s="4" t="s">
        <v>248</v>
      </c>
      <c r="E70" s="7"/>
      <c r="F70" s="4" t="s">
        <v>49</v>
      </c>
      <c r="G70" s="7"/>
      <c r="H70" s="4"/>
    </row>
    <row r="71" customFormat="false" ht="26.85" hidden="false" customHeight="false" outlineLevel="0" collapsed="false">
      <c r="A71" s="4" t="s">
        <v>249</v>
      </c>
      <c r="B71" s="5" t="s">
        <v>228</v>
      </c>
      <c r="C71" s="6" t="s">
        <v>250</v>
      </c>
      <c r="D71" s="4" t="s">
        <v>251</v>
      </c>
      <c r="E71" s="7"/>
      <c r="F71" s="4" t="s">
        <v>76</v>
      </c>
      <c r="G71" s="7"/>
      <c r="H71" s="4"/>
    </row>
    <row r="72" customFormat="false" ht="15" hidden="false" customHeight="false" outlineLevel="0" collapsed="false">
      <c r="A72" s="4" t="s">
        <v>252</v>
      </c>
      <c r="B72" s="5" t="s">
        <v>228</v>
      </c>
      <c r="C72" s="6" t="s">
        <v>253</v>
      </c>
      <c r="D72" s="4" t="s">
        <v>254</v>
      </c>
      <c r="E72" s="7"/>
      <c r="F72" s="4" t="s">
        <v>24</v>
      </c>
      <c r="G72" s="7"/>
      <c r="H72" s="4"/>
    </row>
    <row r="73" customFormat="false" ht="26.85" hidden="false" customHeight="false" outlineLevel="0" collapsed="false">
      <c r="A73" s="4" t="s">
        <v>255</v>
      </c>
      <c r="B73" s="5" t="s">
        <v>228</v>
      </c>
      <c r="C73" s="6" t="s">
        <v>256</v>
      </c>
      <c r="D73" s="4" t="s">
        <v>257</v>
      </c>
      <c r="E73" s="7"/>
      <c r="F73" s="4" t="s">
        <v>76</v>
      </c>
      <c r="G73" s="7"/>
      <c r="H73" s="4"/>
    </row>
    <row r="74" customFormat="false" ht="15" hidden="false" customHeight="false" outlineLevel="0" collapsed="false">
      <c r="A74" s="4" t="s">
        <v>258</v>
      </c>
      <c r="B74" s="5" t="s">
        <v>228</v>
      </c>
      <c r="C74" s="6" t="s">
        <v>259</v>
      </c>
      <c r="D74" s="4" t="s">
        <v>260</v>
      </c>
      <c r="E74" s="7"/>
      <c r="F74" s="4" t="s">
        <v>49</v>
      </c>
      <c r="G74" s="7"/>
      <c r="H74" s="4"/>
    </row>
    <row r="75" customFormat="false" ht="26.85" hidden="false" customHeight="false" outlineLevel="0" collapsed="false">
      <c r="A75" s="4" t="s">
        <v>261</v>
      </c>
      <c r="B75" s="5" t="s">
        <v>228</v>
      </c>
      <c r="C75" s="6" t="s">
        <v>262</v>
      </c>
      <c r="D75" s="4" t="s">
        <v>263</v>
      </c>
      <c r="E75" s="7"/>
      <c r="F75" s="4" t="s">
        <v>76</v>
      </c>
      <c r="G75" s="7"/>
      <c r="H75" s="4"/>
    </row>
    <row r="76" customFormat="false" ht="26.85" hidden="false" customHeight="false" outlineLevel="0" collapsed="false">
      <c r="A76" s="4" t="s">
        <v>264</v>
      </c>
      <c r="B76" s="5" t="s">
        <v>265</v>
      </c>
      <c r="C76" s="6" t="s">
        <v>266</v>
      </c>
      <c r="D76" s="4" t="s">
        <v>267</v>
      </c>
      <c r="E76" s="7"/>
      <c r="F76" s="4" t="s">
        <v>24</v>
      </c>
      <c r="G76" s="7"/>
      <c r="H76" s="4"/>
    </row>
    <row r="77" customFormat="false" ht="26.85" hidden="false" customHeight="false" outlineLevel="0" collapsed="false">
      <c r="A77" s="4" t="s">
        <v>268</v>
      </c>
      <c r="B77" s="5" t="s">
        <v>265</v>
      </c>
      <c r="C77" s="6" t="s">
        <v>269</v>
      </c>
      <c r="D77" s="4" t="s">
        <v>270</v>
      </c>
      <c r="E77" s="7"/>
      <c r="F77" s="4" t="s">
        <v>24</v>
      </c>
      <c r="G77" s="7"/>
      <c r="H77" s="4"/>
    </row>
    <row r="78" customFormat="false" ht="26.85" hidden="false" customHeight="false" outlineLevel="0" collapsed="false">
      <c r="A78" s="4" t="s">
        <v>271</v>
      </c>
      <c r="B78" s="5" t="s">
        <v>265</v>
      </c>
      <c r="C78" s="6" t="s">
        <v>272</v>
      </c>
      <c r="D78" s="4" t="s">
        <v>273</v>
      </c>
      <c r="E78" s="7"/>
      <c r="F78" s="4" t="s">
        <v>49</v>
      </c>
      <c r="G78" s="7"/>
      <c r="H78" s="4"/>
    </row>
    <row r="79" customFormat="false" ht="26.85" hidden="false" customHeight="false" outlineLevel="0" collapsed="false">
      <c r="A79" s="4" t="s">
        <v>274</v>
      </c>
      <c r="B79" s="5" t="s">
        <v>265</v>
      </c>
      <c r="C79" s="6" t="s">
        <v>275</v>
      </c>
      <c r="D79" s="4" t="s">
        <v>276</v>
      </c>
      <c r="E79" s="7"/>
      <c r="F79" s="4" t="s">
        <v>24</v>
      </c>
      <c r="G79" s="7"/>
      <c r="H79" s="4"/>
    </row>
    <row r="80" customFormat="false" ht="26.85" hidden="false" customHeight="false" outlineLevel="0" collapsed="false">
      <c r="A80" s="4" t="s">
        <v>277</v>
      </c>
      <c r="B80" s="5" t="s">
        <v>265</v>
      </c>
      <c r="C80" s="6" t="s">
        <v>278</v>
      </c>
      <c r="D80" s="4" t="s">
        <v>279</v>
      </c>
      <c r="E80" s="7"/>
      <c r="F80" s="4" t="s">
        <v>24</v>
      </c>
      <c r="G80" s="7"/>
      <c r="H80" s="4"/>
    </row>
    <row r="81" customFormat="false" ht="26.85" hidden="false" customHeight="false" outlineLevel="0" collapsed="false">
      <c r="A81" s="4" t="s">
        <v>280</v>
      </c>
      <c r="B81" s="5" t="s">
        <v>265</v>
      </c>
      <c r="C81" s="6" t="s">
        <v>281</v>
      </c>
      <c r="D81" s="4" t="s">
        <v>282</v>
      </c>
      <c r="E81" s="7"/>
      <c r="F81" s="4" t="s">
        <v>49</v>
      </c>
      <c r="G81" s="7"/>
      <c r="H81" s="4"/>
    </row>
    <row r="82" customFormat="false" ht="26.85" hidden="false" customHeight="false" outlineLevel="0" collapsed="false">
      <c r="A82" s="4" t="s">
        <v>283</v>
      </c>
      <c r="B82" s="5" t="s">
        <v>265</v>
      </c>
      <c r="C82" s="6" t="s">
        <v>284</v>
      </c>
      <c r="D82" s="4" t="s">
        <v>285</v>
      </c>
      <c r="E82" s="7"/>
      <c r="F82" s="4" t="s">
        <v>49</v>
      </c>
      <c r="G82" s="7"/>
      <c r="H82" s="4"/>
    </row>
    <row r="83" customFormat="false" ht="26.85" hidden="false" customHeight="false" outlineLevel="0" collapsed="false">
      <c r="A83" s="4" t="s">
        <v>286</v>
      </c>
      <c r="B83" s="5" t="s">
        <v>265</v>
      </c>
      <c r="C83" s="6" t="s">
        <v>287</v>
      </c>
      <c r="D83" s="4" t="s">
        <v>288</v>
      </c>
      <c r="E83" s="7"/>
      <c r="F83" s="4" t="s">
        <v>24</v>
      </c>
      <c r="G83" s="7"/>
      <c r="H83" s="4"/>
    </row>
    <row r="84" customFormat="false" ht="26.85" hidden="false" customHeight="false" outlineLevel="0" collapsed="false">
      <c r="A84" s="4" t="s">
        <v>289</v>
      </c>
      <c r="B84" s="5" t="s">
        <v>265</v>
      </c>
      <c r="C84" s="6" t="s">
        <v>290</v>
      </c>
      <c r="D84" s="4" t="s">
        <v>291</v>
      </c>
      <c r="E84" s="7"/>
      <c r="F84" s="4" t="s">
        <v>49</v>
      </c>
      <c r="G84" s="7"/>
      <c r="H84" s="4"/>
    </row>
    <row r="85" customFormat="false" ht="26.85" hidden="false" customHeight="false" outlineLevel="0" collapsed="false">
      <c r="A85" s="4" t="s">
        <v>292</v>
      </c>
      <c r="B85" s="5" t="s">
        <v>265</v>
      </c>
      <c r="C85" s="6" t="s">
        <v>293</v>
      </c>
      <c r="D85" s="4" t="s">
        <v>294</v>
      </c>
      <c r="E85" s="7"/>
      <c r="F85" s="4" t="s">
        <v>24</v>
      </c>
      <c r="G85" s="7"/>
      <c r="H85" s="4"/>
    </row>
    <row r="86" customFormat="false" ht="26.85" hidden="false" customHeight="false" outlineLevel="0" collapsed="false">
      <c r="A86" s="4" t="s">
        <v>295</v>
      </c>
      <c r="B86" s="5" t="s">
        <v>265</v>
      </c>
      <c r="C86" s="6" t="s">
        <v>296</v>
      </c>
      <c r="D86" s="4" t="s">
        <v>297</v>
      </c>
      <c r="E86" s="7"/>
      <c r="F86" s="4" t="s">
        <v>49</v>
      </c>
      <c r="G86" s="7"/>
      <c r="H86" s="4"/>
    </row>
    <row r="87" customFormat="false" ht="26.85" hidden="false" customHeight="false" outlineLevel="0" collapsed="false">
      <c r="A87" s="4" t="s">
        <v>298</v>
      </c>
      <c r="B87" s="5" t="s">
        <v>265</v>
      </c>
      <c r="C87" s="6" t="s">
        <v>299</v>
      </c>
      <c r="D87" s="4" t="s">
        <v>300</v>
      </c>
      <c r="E87" s="7"/>
      <c r="F87" s="4" t="s">
        <v>49</v>
      </c>
      <c r="G87" s="7"/>
      <c r="H87" s="4"/>
    </row>
    <row r="88" customFormat="false" ht="26.85" hidden="false" customHeight="false" outlineLevel="0" collapsed="false">
      <c r="A88" s="4" t="s">
        <v>301</v>
      </c>
      <c r="B88" s="5" t="s">
        <v>265</v>
      </c>
      <c r="C88" s="6" t="s">
        <v>302</v>
      </c>
      <c r="D88" s="4" t="s">
        <v>303</v>
      </c>
      <c r="E88" s="7"/>
      <c r="F88" s="4" t="s">
        <v>76</v>
      </c>
      <c r="G88" s="7"/>
      <c r="H88" s="4" t="s">
        <v>116</v>
      </c>
    </row>
    <row r="89" customFormat="false" ht="26.85" hidden="false" customHeight="false" outlineLevel="0" collapsed="false">
      <c r="A89" s="4" t="s">
        <v>304</v>
      </c>
      <c r="B89" s="5" t="s">
        <v>305</v>
      </c>
      <c r="C89" s="6" t="s">
        <v>306</v>
      </c>
      <c r="D89" s="4" t="s">
        <v>307</v>
      </c>
      <c r="E89" s="7"/>
      <c r="F89" s="4" t="s">
        <v>24</v>
      </c>
      <c r="G89" s="7"/>
      <c r="H89" s="4"/>
    </row>
    <row r="90" customFormat="false" ht="26.85" hidden="false" customHeight="false" outlineLevel="0" collapsed="false">
      <c r="A90" s="4" t="s">
        <v>308</v>
      </c>
      <c r="B90" s="5" t="s">
        <v>305</v>
      </c>
      <c r="C90" s="6" t="s">
        <v>309</v>
      </c>
      <c r="D90" s="4" t="s">
        <v>310</v>
      </c>
      <c r="E90" s="7"/>
      <c r="F90" s="4" t="s">
        <v>76</v>
      </c>
      <c r="G90" s="7"/>
      <c r="H90" s="4"/>
    </row>
    <row r="91" customFormat="false" ht="15" hidden="false" customHeight="false" outlineLevel="0" collapsed="false">
      <c r="A91" s="4" t="s">
        <v>311</v>
      </c>
      <c r="B91" s="5" t="s">
        <v>305</v>
      </c>
      <c r="C91" s="6" t="s">
        <v>312</v>
      </c>
      <c r="D91" s="4" t="s">
        <v>313</v>
      </c>
      <c r="E91" s="7"/>
      <c r="F91" s="4" t="s">
        <v>24</v>
      </c>
      <c r="G91" s="7"/>
      <c r="H91" s="4"/>
    </row>
    <row r="92" customFormat="false" ht="15" hidden="false" customHeight="false" outlineLevel="0" collapsed="false">
      <c r="A92" s="4" t="s">
        <v>314</v>
      </c>
      <c r="B92" s="5" t="s">
        <v>305</v>
      </c>
      <c r="C92" s="6" t="s">
        <v>315</v>
      </c>
      <c r="D92" s="4" t="s">
        <v>316</v>
      </c>
      <c r="E92" s="7"/>
      <c r="F92" s="4" t="s">
        <v>24</v>
      </c>
      <c r="G92" s="7"/>
      <c r="H92" s="4"/>
    </row>
    <row r="93" customFormat="false" ht="15" hidden="false" customHeight="false" outlineLevel="0" collapsed="false">
      <c r="A93" s="4" t="s">
        <v>317</v>
      </c>
      <c r="B93" s="5" t="s">
        <v>305</v>
      </c>
      <c r="C93" s="6" t="s">
        <v>318</v>
      </c>
      <c r="D93" s="4" t="s">
        <v>319</v>
      </c>
      <c r="E93" s="7"/>
      <c r="F93" s="4" t="s">
        <v>24</v>
      </c>
      <c r="G93" s="7"/>
      <c r="H93" s="4" t="s">
        <v>320</v>
      </c>
    </row>
    <row r="94" customFormat="false" ht="26.85" hidden="false" customHeight="false" outlineLevel="0" collapsed="false">
      <c r="A94" s="4" t="s">
        <v>321</v>
      </c>
      <c r="B94" s="5" t="s">
        <v>305</v>
      </c>
      <c r="C94" s="6" t="s">
        <v>322</v>
      </c>
      <c r="D94" s="4" t="s">
        <v>323</v>
      </c>
      <c r="E94" s="7"/>
      <c r="F94" s="4" t="s">
        <v>24</v>
      </c>
      <c r="G94" s="7"/>
      <c r="H94" s="4"/>
    </row>
    <row r="95" customFormat="false" ht="26.85" hidden="false" customHeight="false" outlineLevel="0" collapsed="false">
      <c r="A95" s="4" t="s">
        <v>324</v>
      </c>
      <c r="B95" s="5" t="s">
        <v>305</v>
      </c>
      <c r="C95" s="6" t="s">
        <v>325</v>
      </c>
      <c r="D95" s="4" t="s">
        <v>326</v>
      </c>
      <c r="E95" s="7"/>
      <c r="F95" s="4" t="s">
        <v>76</v>
      </c>
      <c r="G95" s="7"/>
      <c r="H95" s="4"/>
    </row>
    <row r="96" customFormat="false" ht="15" hidden="false" customHeight="false" outlineLevel="0" collapsed="false">
      <c r="A96" s="4" t="s">
        <v>327</v>
      </c>
      <c r="B96" s="5" t="s">
        <v>305</v>
      </c>
      <c r="C96" s="6" t="s">
        <v>328</v>
      </c>
      <c r="D96" s="4" t="s">
        <v>329</v>
      </c>
      <c r="E96" s="7"/>
      <c r="F96" s="4" t="s">
        <v>49</v>
      </c>
      <c r="G96" s="7"/>
      <c r="H96" s="4"/>
    </row>
    <row r="97" customFormat="false" ht="26.85" hidden="false" customHeight="false" outlineLevel="0" collapsed="false">
      <c r="A97" s="4" t="s">
        <v>330</v>
      </c>
      <c r="B97" s="5" t="s">
        <v>305</v>
      </c>
      <c r="C97" s="6" t="s">
        <v>331</v>
      </c>
      <c r="D97" s="4" t="s">
        <v>332</v>
      </c>
      <c r="E97" s="7"/>
      <c r="F97" s="4" t="s">
        <v>76</v>
      </c>
      <c r="G97" s="7"/>
      <c r="H97" s="4" t="s">
        <v>116</v>
      </c>
    </row>
    <row r="98" customFormat="false" ht="26.85" hidden="false" customHeight="false" outlineLevel="0" collapsed="false">
      <c r="A98" s="4" t="s">
        <v>333</v>
      </c>
      <c r="B98" s="5" t="s">
        <v>334</v>
      </c>
      <c r="C98" s="6" t="s">
        <v>335</v>
      </c>
      <c r="D98" s="4" t="s">
        <v>336</v>
      </c>
      <c r="E98" s="7"/>
      <c r="F98" s="4" t="s">
        <v>24</v>
      </c>
      <c r="G98" s="7"/>
      <c r="H98" s="4"/>
    </row>
    <row r="99" customFormat="false" ht="15" hidden="false" customHeight="false" outlineLevel="0" collapsed="false">
      <c r="A99" s="4" t="s">
        <v>337</v>
      </c>
      <c r="B99" s="5" t="s">
        <v>334</v>
      </c>
      <c r="C99" s="6" t="s">
        <v>338</v>
      </c>
      <c r="D99" s="4" t="s">
        <v>339</v>
      </c>
      <c r="E99" s="7"/>
      <c r="F99" s="4" t="s">
        <v>24</v>
      </c>
      <c r="G99" s="7"/>
      <c r="H99" s="4"/>
    </row>
    <row r="100" customFormat="false" ht="15" hidden="false" customHeight="false" outlineLevel="0" collapsed="false">
      <c r="A100" s="4" t="s">
        <v>340</v>
      </c>
      <c r="B100" s="5" t="s">
        <v>334</v>
      </c>
      <c r="C100" s="6" t="s">
        <v>341</v>
      </c>
      <c r="D100" s="4" t="s">
        <v>342</v>
      </c>
      <c r="E100" s="7"/>
      <c r="F100" s="4" t="s">
        <v>24</v>
      </c>
      <c r="G100" s="7"/>
      <c r="H100" s="4"/>
    </row>
    <row r="101" customFormat="false" ht="26.85" hidden="false" customHeight="false" outlineLevel="0" collapsed="false">
      <c r="A101" s="4" t="s">
        <v>343</v>
      </c>
      <c r="B101" s="5" t="s">
        <v>334</v>
      </c>
      <c r="C101" s="6" t="s">
        <v>344</v>
      </c>
      <c r="D101" s="4" t="s">
        <v>345</v>
      </c>
      <c r="E101" s="7"/>
      <c r="F101" s="4" t="s">
        <v>24</v>
      </c>
      <c r="G101" s="7"/>
      <c r="H101" s="4"/>
    </row>
    <row r="102" customFormat="false" ht="15" hidden="false" customHeight="false" outlineLevel="0" collapsed="false">
      <c r="A102" s="4" t="s">
        <v>346</v>
      </c>
      <c r="B102" s="5" t="s">
        <v>334</v>
      </c>
      <c r="C102" s="6" t="s">
        <v>347</v>
      </c>
      <c r="D102" s="4" t="s">
        <v>348</v>
      </c>
      <c r="E102" s="7"/>
      <c r="F102" s="4" t="s">
        <v>24</v>
      </c>
      <c r="G102" s="7"/>
      <c r="H102" s="4"/>
    </row>
    <row r="103" customFormat="false" ht="26.85" hidden="false" customHeight="false" outlineLevel="0" collapsed="false">
      <c r="A103" s="4" t="s">
        <v>349</v>
      </c>
      <c r="B103" s="5" t="s">
        <v>334</v>
      </c>
      <c r="C103" s="6" t="s">
        <v>350</v>
      </c>
      <c r="D103" s="4" t="s">
        <v>351</v>
      </c>
      <c r="E103" s="7"/>
      <c r="F103" s="4" t="s">
        <v>24</v>
      </c>
      <c r="G103" s="7"/>
      <c r="H103" s="4"/>
    </row>
    <row r="104" customFormat="false" ht="15" hidden="false" customHeight="false" outlineLevel="0" collapsed="false">
      <c r="A104" s="4" t="s">
        <v>352</v>
      </c>
      <c r="B104" s="5" t="s">
        <v>334</v>
      </c>
      <c r="C104" s="6" t="s">
        <v>353</v>
      </c>
      <c r="D104" s="4" t="s">
        <v>354</v>
      </c>
      <c r="E104" s="7"/>
      <c r="F104" s="4" t="s">
        <v>24</v>
      </c>
      <c r="G104" s="7"/>
      <c r="H104" s="4"/>
    </row>
    <row r="105" customFormat="false" ht="15" hidden="false" customHeight="false" outlineLevel="0" collapsed="false">
      <c r="A105" s="4" t="s">
        <v>355</v>
      </c>
      <c r="B105" s="5" t="s">
        <v>334</v>
      </c>
      <c r="C105" s="6" t="s">
        <v>356</v>
      </c>
      <c r="D105" s="4" t="s">
        <v>357</v>
      </c>
      <c r="E105" s="7"/>
      <c r="F105" s="4" t="s">
        <v>49</v>
      </c>
      <c r="G105" s="7"/>
      <c r="H105" s="4"/>
    </row>
    <row r="106" customFormat="false" ht="26.85" hidden="false" customHeight="false" outlineLevel="0" collapsed="false">
      <c r="A106" s="4" t="s">
        <v>358</v>
      </c>
      <c r="B106" s="5" t="s">
        <v>334</v>
      </c>
      <c r="C106" s="6" t="s">
        <v>359</v>
      </c>
      <c r="D106" s="4" t="s">
        <v>360</v>
      </c>
      <c r="E106" s="7"/>
      <c r="F106" s="4" t="s">
        <v>76</v>
      </c>
      <c r="G106" s="7"/>
      <c r="H106" s="4"/>
    </row>
    <row r="107" customFormat="false" ht="26.85" hidden="false" customHeight="false" outlineLevel="0" collapsed="false">
      <c r="A107" s="4" t="s">
        <v>361</v>
      </c>
      <c r="B107" s="5" t="s">
        <v>334</v>
      </c>
      <c r="C107" s="6" t="s">
        <v>362</v>
      </c>
      <c r="D107" s="4" t="s">
        <v>363</v>
      </c>
      <c r="E107" s="7"/>
      <c r="F107" s="4" t="s">
        <v>49</v>
      </c>
      <c r="G107" s="7"/>
      <c r="H107" s="4"/>
    </row>
    <row r="108" customFormat="false" ht="26.85" hidden="false" customHeight="false" outlineLevel="0" collapsed="false">
      <c r="A108" s="4" t="s">
        <v>364</v>
      </c>
      <c r="B108" s="5" t="s">
        <v>334</v>
      </c>
      <c r="C108" s="6" t="s">
        <v>365</v>
      </c>
      <c r="D108" s="4" t="s">
        <v>366</v>
      </c>
      <c r="E108" s="7"/>
      <c r="F108" s="4" t="s">
        <v>76</v>
      </c>
      <c r="G108" s="7"/>
      <c r="H108" s="4" t="s">
        <v>116</v>
      </c>
    </row>
    <row r="109" customFormat="false" ht="26.85" hidden="false" customHeight="false" outlineLevel="0" collapsed="false">
      <c r="A109" s="4" t="s">
        <v>367</v>
      </c>
      <c r="B109" s="5" t="s">
        <v>368</v>
      </c>
      <c r="C109" s="6" t="s">
        <v>369</v>
      </c>
      <c r="D109" s="4" t="s">
        <v>370</v>
      </c>
      <c r="E109" s="7"/>
      <c r="F109" s="4" t="s">
        <v>24</v>
      </c>
      <c r="G109" s="7"/>
      <c r="H109" s="4"/>
    </row>
    <row r="110" customFormat="false" ht="15" hidden="false" customHeight="false" outlineLevel="0" collapsed="false">
      <c r="A110" s="4" t="s">
        <v>371</v>
      </c>
      <c r="B110" s="5" t="s">
        <v>368</v>
      </c>
      <c r="C110" s="6" t="s">
        <v>372</v>
      </c>
      <c r="D110" s="4" t="s">
        <v>373</v>
      </c>
      <c r="E110" s="7"/>
      <c r="F110" s="4" t="s">
        <v>24</v>
      </c>
      <c r="G110" s="7"/>
      <c r="H110" s="4"/>
    </row>
    <row r="111" customFormat="false" ht="15" hidden="false" customHeight="false" outlineLevel="0" collapsed="false">
      <c r="A111" s="4" t="s">
        <v>374</v>
      </c>
      <c r="B111" s="5" t="s">
        <v>368</v>
      </c>
      <c r="C111" s="6" t="s">
        <v>375</v>
      </c>
      <c r="D111" s="4" t="s">
        <v>376</v>
      </c>
      <c r="E111" s="7"/>
      <c r="F111" s="4" t="s">
        <v>49</v>
      </c>
      <c r="G111" s="7"/>
      <c r="H111" s="4"/>
    </row>
    <row r="112" customFormat="false" ht="15" hidden="false" customHeight="false" outlineLevel="0" collapsed="false">
      <c r="A112" s="4" t="s">
        <v>377</v>
      </c>
      <c r="B112" s="5" t="s">
        <v>368</v>
      </c>
      <c r="C112" s="6" t="s">
        <v>378</v>
      </c>
      <c r="D112" s="4" t="s">
        <v>379</v>
      </c>
      <c r="E112" s="7"/>
      <c r="F112" s="4" t="s">
        <v>24</v>
      </c>
      <c r="G112" s="7"/>
      <c r="H112" s="4"/>
    </row>
    <row r="113" customFormat="false" ht="15" hidden="false" customHeight="false" outlineLevel="0" collapsed="false">
      <c r="A113" s="4" t="s">
        <v>380</v>
      </c>
      <c r="B113" s="5" t="s">
        <v>368</v>
      </c>
      <c r="C113" s="6" t="s">
        <v>381</v>
      </c>
      <c r="D113" s="4" t="s">
        <v>382</v>
      </c>
      <c r="E113" s="7"/>
      <c r="F113" s="4" t="s">
        <v>49</v>
      </c>
      <c r="G113" s="7"/>
      <c r="H113" s="4"/>
    </row>
    <row r="114" customFormat="false" ht="15" hidden="false" customHeight="false" outlineLevel="0" collapsed="false">
      <c r="A114" s="4" t="s">
        <v>383</v>
      </c>
      <c r="B114" s="5" t="s">
        <v>368</v>
      </c>
      <c r="C114" s="6" t="s">
        <v>384</v>
      </c>
      <c r="D114" s="4" t="s">
        <v>385</v>
      </c>
      <c r="E114" s="7"/>
      <c r="F114" s="4" t="s">
        <v>49</v>
      </c>
      <c r="G114" s="7"/>
      <c r="H114" s="4"/>
    </row>
    <row r="115" customFormat="false" ht="15" hidden="false" customHeight="false" outlineLevel="0" collapsed="false">
      <c r="A115" s="4" t="s">
        <v>386</v>
      </c>
      <c r="B115" s="5" t="s">
        <v>368</v>
      </c>
      <c r="C115" s="6" t="s">
        <v>387</v>
      </c>
      <c r="D115" s="4" t="s">
        <v>388</v>
      </c>
      <c r="E115" s="7"/>
      <c r="F115" s="4" t="s">
        <v>24</v>
      </c>
      <c r="G115" s="7"/>
      <c r="H115" s="4"/>
    </row>
    <row r="116" customFormat="false" ht="15" hidden="false" customHeight="false" outlineLevel="0" collapsed="false">
      <c r="A116" s="4" t="s">
        <v>389</v>
      </c>
      <c r="B116" s="5" t="s">
        <v>368</v>
      </c>
      <c r="C116" s="6" t="s">
        <v>390</v>
      </c>
      <c r="D116" s="4" t="s">
        <v>391</v>
      </c>
      <c r="E116" s="7"/>
      <c r="F116" s="4" t="s">
        <v>49</v>
      </c>
      <c r="G116" s="7"/>
      <c r="H116" s="4"/>
    </row>
    <row r="117" customFormat="false" ht="15" hidden="false" customHeight="false" outlineLevel="0" collapsed="false">
      <c r="A117" s="4" t="s">
        <v>392</v>
      </c>
      <c r="B117" s="5" t="s">
        <v>368</v>
      </c>
      <c r="C117" s="6" t="s">
        <v>393</v>
      </c>
      <c r="D117" s="4" t="s">
        <v>394</v>
      </c>
      <c r="E117" s="7"/>
      <c r="F117" s="4" t="s">
        <v>49</v>
      </c>
      <c r="G117" s="7"/>
      <c r="H117" s="4"/>
    </row>
    <row r="118" customFormat="false" ht="26.85" hidden="false" customHeight="false" outlineLevel="0" collapsed="false">
      <c r="A118" s="4" t="s">
        <v>395</v>
      </c>
      <c r="B118" s="5" t="s">
        <v>368</v>
      </c>
      <c r="C118" s="6" t="s">
        <v>396</v>
      </c>
      <c r="D118" s="4" t="s">
        <v>397</v>
      </c>
      <c r="E118" s="7"/>
      <c r="F118" s="4" t="s">
        <v>76</v>
      </c>
      <c r="G118" s="7"/>
      <c r="H118" s="4" t="s">
        <v>116</v>
      </c>
    </row>
    <row r="119" customFormat="false" ht="26.85" hidden="false" customHeight="false" outlineLevel="0" collapsed="false">
      <c r="A119" s="4" t="s">
        <v>398</v>
      </c>
      <c r="B119" s="5" t="s">
        <v>399</v>
      </c>
      <c r="C119" s="6" t="s">
        <v>400</v>
      </c>
      <c r="D119" s="4" t="s">
        <v>401</v>
      </c>
      <c r="E119" s="7"/>
      <c r="F119" s="4" t="s">
        <v>24</v>
      </c>
      <c r="G119" s="7"/>
      <c r="H119" s="4"/>
    </row>
    <row r="120" customFormat="false" ht="15" hidden="false" customHeight="false" outlineLevel="0" collapsed="false">
      <c r="A120" s="4" t="s">
        <v>402</v>
      </c>
      <c r="B120" s="5" t="s">
        <v>399</v>
      </c>
      <c r="C120" s="6" t="s">
        <v>403</v>
      </c>
      <c r="D120" s="4" t="s">
        <v>404</v>
      </c>
      <c r="E120" s="7"/>
      <c r="F120" s="4" t="s">
        <v>24</v>
      </c>
      <c r="G120" s="7"/>
      <c r="H120" s="4"/>
    </row>
    <row r="121" customFormat="false" ht="26.85" hidden="false" customHeight="false" outlineLevel="0" collapsed="false">
      <c r="A121" s="4" t="s">
        <v>405</v>
      </c>
      <c r="B121" s="5" t="s">
        <v>399</v>
      </c>
      <c r="C121" s="6" t="s">
        <v>406</v>
      </c>
      <c r="D121" s="4" t="s">
        <v>407</v>
      </c>
      <c r="E121" s="7"/>
      <c r="F121" s="4" t="s">
        <v>24</v>
      </c>
      <c r="G121" s="7"/>
      <c r="H121" s="4"/>
    </row>
    <row r="122" customFormat="false" ht="15" hidden="false" customHeight="false" outlineLevel="0" collapsed="false">
      <c r="A122" s="4" t="s">
        <v>408</v>
      </c>
      <c r="B122" s="5" t="s">
        <v>399</v>
      </c>
      <c r="C122" s="6" t="s">
        <v>409</v>
      </c>
      <c r="D122" s="4" t="s">
        <v>410</v>
      </c>
      <c r="E122" s="7"/>
      <c r="F122" s="4" t="s">
        <v>49</v>
      </c>
      <c r="G122" s="7"/>
      <c r="H122" s="4"/>
    </row>
    <row r="123" customFormat="false" ht="26.85" hidden="false" customHeight="false" outlineLevel="0" collapsed="false">
      <c r="A123" s="4" t="s">
        <v>411</v>
      </c>
      <c r="B123" s="5" t="s">
        <v>399</v>
      </c>
      <c r="C123" s="6" t="s">
        <v>412</v>
      </c>
      <c r="D123" s="4" t="s">
        <v>413</v>
      </c>
      <c r="E123" s="7"/>
      <c r="F123" s="4" t="s">
        <v>24</v>
      </c>
      <c r="G123" s="7"/>
      <c r="H123" s="4"/>
    </row>
    <row r="124" customFormat="false" ht="26.85" hidden="false" customHeight="false" outlineLevel="0" collapsed="false">
      <c r="A124" s="4" t="s">
        <v>414</v>
      </c>
      <c r="B124" s="5" t="s">
        <v>399</v>
      </c>
      <c r="C124" s="6" t="s">
        <v>415</v>
      </c>
      <c r="D124" s="4" t="s">
        <v>416</v>
      </c>
      <c r="E124" s="7"/>
      <c r="F124" s="4" t="s">
        <v>49</v>
      </c>
      <c r="G124" s="7"/>
      <c r="H124" s="4"/>
    </row>
    <row r="125" customFormat="false" ht="15" hidden="false" customHeight="false" outlineLevel="0" collapsed="false">
      <c r="A125" s="4" t="s">
        <v>417</v>
      </c>
      <c r="B125" s="5" t="s">
        <v>399</v>
      </c>
      <c r="C125" s="6" t="s">
        <v>418</v>
      </c>
      <c r="D125" s="4" t="s">
        <v>419</v>
      </c>
      <c r="E125" s="7"/>
      <c r="F125" s="4" t="s">
        <v>49</v>
      </c>
      <c r="G125" s="7"/>
      <c r="H125" s="4"/>
    </row>
    <row r="126" customFormat="false" ht="26.85" hidden="false" customHeight="false" outlineLevel="0" collapsed="false">
      <c r="A126" s="4" t="s">
        <v>420</v>
      </c>
      <c r="B126" s="5" t="s">
        <v>399</v>
      </c>
      <c r="C126" s="6" t="s">
        <v>421</v>
      </c>
      <c r="D126" s="4" t="s">
        <v>422</v>
      </c>
      <c r="E126" s="7"/>
      <c r="F126" s="4" t="s">
        <v>76</v>
      </c>
      <c r="G126" s="7"/>
      <c r="H126" s="4" t="s">
        <v>116</v>
      </c>
    </row>
    <row r="127" customFormat="false" ht="26.85" hidden="false" customHeight="false" outlineLevel="0" collapsed="false">
      <c r="A127" s="4" t="s">
        <v>423</v>
      </c>
      <c r="B127" s="5" t="s">
        <v>424</v>
      </c>
      <c r="C127" s="6" t="s">
        <v>425</v>
      </c>
      <c r="D127" s="4" t="s">
        <v>426</v>
      </c>
      <c r="E127" s="7"/>
      <c r="F127" s="4" t="s">
        <v>24</v>
      </c>
      <c r="G127" s="7"/>
      <c r="H127" s="4"/>
    </row>
    <row r="128" customFormat="false" ht="26.85" hidden="false" customHeight="false" outlineLevel="0" collapsed="false">
      <c r="A128" s="4" t="s">
        <v>427</v>
      </c>
      <c r="B128" s="5" t="s">
        <v>424</v>
      </c>
      <c r="C128" s="6" t="s">
        <v>428</v>
      </c>
      <c r="D128" s="4" t="s">
        <v>429</v>
      </c>
      <c r="E128" s="7"/>
      <c r="F128" s="4" t="s">
        <v>49</v>
      </c>
      <c r="G128" s="7"/>
      <c r="H128" s="4"/>
    </row>
    <row r="129" customFormat="false" ht="26.85" hidden="false" customHeight="false" outlineLevel="0" collapsed="false">
      <c r="A129" s="4" t="s">
        <v>430</v>
      </c>
      <c r="B129" s="5" t="s">
        <v>424</v>
      </c>
      <c r="C129" s="6" t="s">
        <v>431</v>
      </c>
      <c r="D129" s="4" t="s">
        <v>432</v>
      </c>
      <c r="E129" s="7"/>
      <c r="F129" s="4" t="s">
        <v>24</v>
      </c>
      <c r="G129" s="7"/>
      <c r="H129" s="4"/>
    </row>
    <row r="130" customFormat="false" ht="26.85" hidden="false" customHeight="false" outlineLevel="0" collapsed="false">
      <c r="A130" s="4" t="s">
        <v>433</v>
      </c>
      <c r="B130" s="5" t="s">
        <v>424</v>
      </c>
      <c r="C130" s="6" t="s">
        <v>434</v>
      </c>
      <c r="D130" s="4" t="s">
        <v>435</v>
      </c>
      <c r="E130" s="7"/>
      <c r="F130" s="4" t="s">
        <v>49</v>
      </c>
      <c r="G130" s="7"/>
      <c r="H130" s="4"/>
    </row>
    <row r="131" customFormat="false" ht="26.85" hidden="false" customHeight="false" outlineLevel="0" collapsed="false">
      <c r="A131" s="4" t="s">
        <v>436</v>
      </c>
      <c r="B131" s="5" t="s">
        <v>424</v>
      </c>
      <c r="C131" s="6" t="s">
        <v>437</v>
      </c>
      <c r="D131" s="4" t="s">
        <v>438</v>
      </c>
      <c r="E131" s="7"/>
      <c r="F131" s="4" t="s">
        <v>49</v>
      </c>
      <c r="G131" s="7"/>
      <c r="H131" s="4"/>
    </row>
    <row r="132" customFormat="false" ht="26.85" hidden="false" customHeight="false" outlineLevel="0" collapsed="false">
      <c r="A132" s="4" t="s">
        <v>439</v>
      </c>
      <c r="B132" s="5" t="s">
        <v>424</v>
      </c>
      <c r="C132" s="6" t="s">
        <v>440</v>
      </c>
      <c r="D132" s="4" t="s">
        <v>441</v>
      </c>
      <c r="E132" s="7"/>
      <c r="F132" s="4" t="s">
        <v>49</v>
      </c>
      <c r="G132" s="7"/>
      <c r="H132" s="4"/>
    </row>
    <row r="133" customFormat="false" ht="26.85" hidden="false" customHeight="false" outlineLevel="0" collapsed="false">
      <c r="A133" s="4" t="s">
        <v>442</v>
      </c>
      <c r="B133" s="5" t="s">
        <v>424</v>
      </c>
      <c r="C133" s="6" t="s">
        <v>443</v>
      </c>
      <c r="D133" s="4" t="s">
        <v>444</v>
      </c>
      <c r="E133" s="7"/>
      <c r="F133" s="4" t="s">
        <v>76</v>
      </c>
      <c r="G133" s="7"/>
      <c r="H133" s="4"/>
    </row>
    <row r="134" customFormat="false" ht="26.85" hidden="false" customHeight="false" outlineLevel="0" collapsed="false">
      <c r="A134" s="4" t="s">
        <v>445</v>
      </c>
      <c r="B134" s="5" t="s">
        <v>424</v>
      </c>
      <c r="C134" s="6" t="s">
        <v>446</v>
      </c>
      <c r="D134" s="4" t="s">
        <v>447</v>
      </c>
      <c r="E134" s="7"/>
      <c r="F134" s="4" t="s">
        <v>49</v>
      </c>
      <c r="G134" s="7"/>
      <c r="H134" s="4"/>
    </row>
    <row r="135" customFormat="false" ht="15" hidden="false" customHeight="false" outlineLevel="0" collapsed="false">
      <c r="A135" s="4" t="s">
        <v>448</v>
      </c>
      <c r="B135" s="5" t="s">
        <v>449</v>
      </c>
      <c r="C135" s="6" t="s">
        <v>450</v>
      </c>
      <c r="D135" s="4" t="s">
        <v>451</v>
      </c>
      <c r="E135" s="7"/>
      <c r="F135" s="4" t="s">
        <v>49</v>
      </c>
      <c r="G135" s="7"/>
      <c r="H135" s="4"/>
    </row>
    <row r="136" customFormat="false" ht="15" hidden="false" customHeight="false" outlineLevel="0" collapsed="false">
      <c r="A136" s="4" t="s">
        <v>452</v>
      </c>
      <c r="B136" s="5" t="s">
        <v>449</v>
      </c>
      <c r="C136" s="6" t="s">
        <v>453</v>
      </c>
      <c r="D136" s="4" t="s">
        <v>454</v>
      </c>
      <c r="E136" s="7"/>
      <c r="F136" s="4" t="s">
        <v>49</v>
      </c>
      <c r="G136" s="7"/>
      <c r="H136" s="4"/>
    </row>
    <row r="137" customFormat="false" ht="15" hidden="false" customHeight="false" outlineLevel="0" collapsed="false">
      <c r="A137" s="4" t="s">
        <v>455</v>
      </c>
      <c r="B137" s="5" t="s">
        <v>449</v>
      </c>
      <c r="C137" s="6" t="s">
        <v>456</v>
      </c>
      <c r="D137" s="4" t="s">
        <v>457</v>
      </c>
      <c r="E137" s="7"/>
      <c r="F137" s="4" t="s">
        <v>24</v>
      </c>
      <c r="G137" s="7"/>
      <c r="H137" s="4"/>
    </row>
    <row r="138" customFormat="false" ht="15" hidden="false" customHeight="false" outlineLevel="0" collapsed="false">
      <c r="A138" s="4" t="s">
        <v>458</v>
      </c>
      <c r="B138" s="5" t="s">
        <v>449</v>
      </c>
      <c r="C138" s="6" t="s">
        <v>459</v>
      </c>
      <c r="D138" s="4" t="s">
        <v>460</v>
      </c>
      <c r="E138" s="7"/>
      <c r="F138" s="4" t="s">
        <v>24</v>
      </c>
      <c r="G138" s="7"/>
      <c r="H138" s="4"/>
    </row>
    <row r="139" customFormat="false" ht="26.85" hidden="false" customHeight="false" outlineLevel="0" collapsed="false">
      <c r="A139" s="4" t="s">
        <v>461</v>
      </c>
      <c r="B139" s="5" t="s">
        <v>449</v>
      </c>
      <c r="C139" s="6" t="s">
        <v>462</v>
      </c>
      <c r="D139" s="4" t="s">
        <v>463</v>
      </c>
      <c r="E139" s="7"/>
      <c r="F139" s="4" t="s">
        <v>49</v>
      </c>
      <c r="G139" s="7"/>
      <c r="H139" s="4"/>
    </row>
    <row r="140" customFormat="false" ht="15" hidden="false" customHeight="false" outlineLevel="0" collapsed="false">
      <c r="A140" s="4" t="s">
        <v>464</v>
      </c>
      <c r="B140" s="5" t="s">
        <v>449</v>
      </c>
      <c r="C140" s="6" t="s">
        <v>465</v>
      </c>
      <c r="D140" s="4" t="s">
        <v>466</v>
      </c>
      <c r="E140" s="7"/>
      <c r="F140" s="4" t="s">
        <v>24</v>
      </c>
      <c r="G140" s="7"/>
      <c r="H140" s="4"/>
    </row>
    <row r="141" customFormat="false" ht="26.85" hidden="false" customHeight="false" outlineLevel="0" collapsed="false">
      <c r="A141" s="4" t="s">
        <v>467</v>
      </c>
      <c r="B141" s="5" t="s">
        <v>449</v>
      </c>
      <c r="C141" s="6" t="s">
        <v>468</v>
      </c>
      <c r="D141" s="4" t="s">
        <v>469</v>
      </c>
      <c r="E141" s="7"/>
      <c r="F141" s="4" t="s">
        <v>76</v>
      </c>
      <c r="G141" s="7"/>
      <c r="H141" s="4"/>
    </row>
    <row r="142" customFormat="false" ht="26.85" hidden="false" customHeight="false" outlineLevel="0" collapsed="false">
      <c r="A142" s="4" t="s">
        <v>470</v>
      </c>
      <c r="B142" s="5" t="s">
        <v>449</v>
      </c>
      <c r="C142" s="6" t="s">
        <v>471</v>
      </c>
      <c r="D142" s="4" t="s">
        <v>472</v>
      </c>
      <c r="E142" s="7"/>
      <c r="F142" s="4" t="s">
        <v>49</v>
      </c>
      <c r="G142" s="7"/>
      <c r="H142" s="4"/>
    </row>
    <row r="143" customFormat="false" ht="26.85" hidden="false" customHeight="false" outlineLevel="0" collapsed="false">
      <c r="A143" s="4" t="s">
        <v>473</v>
      </c>
      <c r="B143" s="5" t="s">
        <v>449</v>
      </c>
      <c r="C143" s="6" t="s">
        <v>474</v>
      </c>
      <c r="D143" s="4" t="s">
        <v>475</v>
      </c>
      <c r="E143" s="7"/>
      <c r="F143" s="4" t="s">
        <v>76</v>
      </c>
      <c r="G143" s="7"/>
      <c r="H143" s="4" t="s">
        <v>116</v>
      </c>
    </row>
    <row r="144" customFormat="false" ht="15" hidden="false" customHeight="false" outlineLevel="0" collapsed="false">
      <c r="A144" s="4" t="s">
        <v>476</v>
      </c>
      <c r="B144" s="5" t="s">
        <v>477</v>
      </c>
      <c r="C144" s="6" t="s">
        <v>478</v>
      </c>
      <c r="D144" s="4" t="s">
        <v>479</v>
      </c>
      <c r="E144" s="7"/>
      <c r="F144" s="4" t="s">
        <v>24</v>
      </c>
      <c r="G144" s="7"/>
      <c r="H144" s="4"/>
    </row>
    <row r="145" customFormat="false" ht="15" hidden="false" customHeight="false" outlineLevel="0" collapsed="false">
      <c r="A145" s="4" t="s">
        <v>480</v>
      </c>
      <c r="B145" s="5" t="s">
        <v>477</v>
      </c>
      <c r="C145" s="6" t="s">
        <v>481</v>
      </c>
      <c r="D145" s="4" t="s">
        <v>482</v>
      </c>
      <c r="E145" s="7"/>
      <c r="F145" s="4" t="s">
        <v>49</v>
      </c>
      <c r="G145" s="7"/>
      <c r="H145" s="4"/>
    </row>
    <row r="146" customFormat="false" ht="15" hidden="false" customHeight="false" outlineLevel="0" collapsed="false">
      <c r="A146" s="4" t="s">
        <v>483</v>
      </c>
      <c r="B146" s="5" t="s">
        <v>477</v>
      </c>
      <c r="C146" s="6" t="s">
        <v>484</v>
      </c>
      <c r="D146" s="4" t="s">
        <v>485</v>
      </c>
      <c r="E146" s="7"/>
      <c r="F146" s="4" t="s">
        <v>49</v>
      </c>
      <c r="G146" s="7"/>
      <c r="H146" s="4"/>
    </row>
    <row r="147" customFormat="false" ht="15" hidden="false" customHeight="false" outlineLevel="0" collapsed="false">
      <c r="A147" s="4" t="s">
        <v>486</v>
      </c>
      <c r="B147" s="5" t="s">
        <v>477</v>
      </c>
      <c r="C147" s="6" t="s">
        <v>487</v>
      </c>
      <c r="D147" s="4" t="s">
        <v>488</v>
      </c>
      <c r="E147" s="7"/>
      <c r="F147" s="4" t="s">
        <v>49</v>
      </c>
      <c r="G147" s="7"/>
      <c r="H147" s="4"/>
    </row>
    <row r="148" customFormat="false" ht="26.85" hidden="false" customHeight="false" outlineLevel="0" collapsed="false">
      <c r="A148" s="4" t="s">
        <v>489</v>
      </c>
      <c r="B148" s="5" t="s">
        <v>477</v>
      </c>
      <c r="C148" s="6" t="s">
        <v>490</v>
      </c>
      <c r="D148" s="4" t="s">
        <v>491</v>
      </c>
      <c r="E148" s="7"/>
      <c r="F148" s="4" t="s">
        <v>76</v>
      </c>
      <c r="G148" s="7"/>
      <c r="H148" s="4"/>
    </row>
    <row r="149" customFormat="false" ht="15" hidden="false" customHeight="false" outlineLevel="0" collapsed="false">
      <c r="A149" s="4" t="s">
        <v>492</v>
      </c>
      <c r="B149" s="5" t="s">
        <v>477</v>
      </c>
      <c r="C149" s="6" t="s">
        <v>493</v>
      </c>
      <c r="D149" s="4" t="s">
        <v>494</v>
      </c>
      <c r="E149" s="7"/>
      <c r="F149" s="4" t="s">
        <v>24</v>
      </c>
      <c r="G149" s="7"/>
      <c r="H149" s="4"/>
    </row>
    <row r="150" customFormat="false" ht="26.85" hidden="false" customHeight="false" outlineLevel="0" collapsed="false">
      <c r="A150" s="4" t="s">
        <v>495</v>
      </c>
      <c r="B150" s="5" t="s">
        <v>477</v>
      </c>
      <c r="C150" s="6" t="s">
        <v>496</v>
      </c>
      <c r="D150" s="4" t="s">
        <v>497</v>
      </c>
      <c r="E150" s="7"/>
      <c r="F150" s="4" t="s">
        <v>76</v>
      </c>
      <c r="G150" s="7"/>
      <c r="H150" s="4"/>
    </row>
    <row r="151" customFormat="false" ht="15" hidden="false" customHeight="false" outlineLevel="0" collapsed="false">
      <c r="A151" s="4" t="s">
        <v>498</v>
      </c>
      <c r="B151" s="5" t="s">
        <v>477</v>
      </c>
      <c r="C151" s="6" t="s">
        <v>499</v>
      </c>
      <c r="D151" s="4" t="s">
        <v>500</v>
      </c>
      <c r="E151" s="7"/>
      <c r="F151" s="4" t="s">
        <v>24</v>
      </c>
      <c r="G151" s="7"/>
      <c r="H151" s="4"/>
    </row>
    <row r="152" customFormat="false" ht="15" hidden="false" customHeight="false" outlineLevel="0" collapsed="false">
      <c r="A152" s="4" t="s">
        <v>501</v>
      </c>
      <c r="B152" s="5" t="s">
        <v>477</v>
      </c>
      <c r="C152" s="6" t="s">
        <v>502</v>
      </c>
      <c r="D152" s="4" t="s">
        <v>503</v>
      </c>
      <c r="E152" s="7"/>
      <c r="F152" s="4" t="s">
        <v>49</v>
      </c>
      <c r="G152" s="7"/>
      <c r="H152" s="4"/>
    </row>
    <row r="153" customFormat="false" ht="26.85" hidden="false" customHeight="false" outlineLevel="0" collapsed="false">
      <c r="A153" s="4" t="s">
        <v>504</v>
      </c>
      <c r="B153" s="5" t="s">
        <v>477</v>
      </c>
      <c r="C153" s="6" t="s">
        <v>505</v>
      </c>
      <c r="D153" s="4" t="s">
        <v>506</v>
      </c>
      <c r="E153" s="7"/>
      <c r="F153" s="4" t="s">
        <v>49</v>
      </c>
      <c r="G153" s="7"/>
      <c r="H153" s="4"/>
    </row>
    <row r="154" customFormat="false" ht="26.85" hidden="false" customHeight="false" outlineLevel="0" collapsed="false">
      <c r="A154" s="4" t="s">
        <v>507</v>
      </c>
      <c r="B154" s="5" t="s">
        <v>477</v>
      </c>
      <c r="C154" s="6" t="s">
        <v>508</v>
      </c>
      <c r="D154" s="4" t="s">
        <v>509</v>
      </c>
      <c r="E154" s="7"/>
      <c r="F154" s="4" t="s">
        <v>49</v>
      </c>
      <c r="G154" s="7"/>
      <c r="H154" s="4"/>
    </row>
    <row r="155" customFormat="false" ht="26.85" hidden="false" customHeight="false" outlineLevel="0" collapsed="false">
      <c r="A155" s="4" t="s">
        <v>510</v>
      </c>
      <c r="B155" s="5" t="s">
        <v>477</v>
      </c>
      <c r="C155" s="6" t="s">
        <v>511</v>
      </c>
      <c r="D155" s="4" t="s">
        <v>512</v>
      </c>
      <c r="E155" s="7"/>
      <c r="F155" s="4" t="s">
        <v>76</v>
      </c>
      <c r="G155" s="7"/>
      <c r="H155" s="4"/>
    </row>
    <row r="156" customFormat="false" ht="26.85" hidden="false" customHeight="false" outlineLevel="0" collapsed="false">
      <c r="A156" s="4" t="s">
        <v>513</v>
      </c>
      <c r="B156" s="5" t="s">
        <v>477</v>
      </c>
      <c r="C156" s="6" t="s">
        <v>514</v>
      </c>
      <c r="D156" s="4" t="s">
        <v>515</v>
      </c>
      <c r="E156" s="7"/>
      <c r="F156" s="4" t="s">
        <v>76</v>
      </c>
      <c r="G156" s="7"/>
      <c r="H156" s="4"/>
    </row>
    <row r="157" customFormat="false" ht="26.85" hidden="false" customHeight="false" outlineLevel="0" collapsed="false">
      <c r="A157" s="4" t="s">
        <v>516</v>
      </c>
      <c r="B157" s="5" t="s">
        <v>517</v>
      </c>
      <c r="C157" s="6" t="s">
        <v>518</v>
      </c>
      <c r="D157" s="4" t="s">
        <v>519</v>
      </c>
      <c r="E157" s="7"/>
      <c r="F157" s="4" t="s">
        <v>24</v>
      </c>
      <c r="G157" s="7"/>
      <c r="H157" s="4"/>
    </row>
    <row r="158" customFormat="false" ht="15" hidden="false" customHeight="false" outlineLevel="0" collapsed="false">
      <c r="A158" s="4" t="s">
        <v>520</v>
      </c>
      <c r="B158" s="5" t="s">
        <v>517</v>
      </c>
      <c r="C158" s="6" t="s">
        <v>521</v>
      </c>
      <c r="D158" s="4" t="s">
        <v>522</v>
      </c>
      <c r="E158" s="7"/>
      <c r="F158" s="4" t="s">
        <v>49</v>
      </c>
      <c r="G158" s="7"/>
      <c r="H158" s="4"/>
    </row>
    <row r="159" customFormat="false" ht="15" hidden="false" customHeight="false" outlineLevel="0" collapsed="false">
      <c r="A159" s="4" t="s">
        <v>523</v>
      </c>
      <c r="B159" s="5" t="s">
        <v>517</v>
      </c>
      <c r="C159" s="6" t="s">
        <v>524</v>
      </c>
      <c r="D159" s="4" t="s">
        <v>525</v>
      </c>
      <c r="E159" s="7"/>
      <c r="F159" s="4" t="s">
        <v>49</v>
      </c>
      <c r="G159" s="7"/>
      <c r="H159" s="4"/>
    </row>
    <row r="160" customFormat="false" ht="26.85" hidden="false" customHeight="false" outlineLevel="0" collapsed="false">
      <c r="A160" s="4" t="s">
        <v>526</v>
      </c>
      <c r="B160" s="5" t="s">
        <v>517</v>
      </c>
      <c r="C160" s="6" t="s">
        <v>527</v>
      </c>
      <c r="D160" s="4" t="s">
        <v>528</v>
      </c>
      <c r="E160" s="7"/>
      <c r="F160" s="4" t="s">
        <v>76</v>
      </c>
      <c r="G160" s="7"/>
      <c r="H160" s="4"/>
    </row>
    <row r="161" customFormat="false" ht="26.85" hidden="false" customHeight="false" outlineLevel="0" collapsed="false">
      <c r="A161" s="4" t="s">
        <v>529</v>
      </c>
      <c r="B161" s="5" t="s">
        <v>517</v>
      </c>
      <c r="C161" s="6" t="s">
        <v>530</v>
      </c>
      <c r="D161" s="4" t="s">
        <v>531</v>
      </c>
      <c r="E161" s="7"/>
      <c r="F161" s="4" t="s">
        <v>24</v>
      </c>
      <c r="G161" s="7"/>
      <c r="H161" s="4"/>
    </row>
    <row r="162" customFormat="false" ht="15" hidden="false" customHeight="false" outlineLevel="0" collapsed="false">
      <c r="A162" s="4" t="s">
        <v>532</v>
      </c>
      <c r="B162" s="5" t="s">
        <v>517</v>
      </c>
      <c r="C162" s="6" t="s">
        <v>533</v>
      </c>
      <c r="D162" s="4" t="s">
        <v>534</v>
      </c>
      <c r="E162" s="7"/>
      <c r="F162" s="4" t="s">
        <v>49</v>
      </c>
      <c r="G162" s="7"/>
      <c r="H162" s="4"/>
    </row>
    <row r="163" customFormat="false" ht="26.85" hidden="false" customHeight="false" outlineLevel="0" collapsed="false">
      <c r="A163" s="4" t="s">
        <v>535</v>
      </c>
      <c r="B163" s="5" t="s">
        <v>517</v>
      </c>
      <c r="C163" s="6" t="s">
        <v>536</v>
      </c>
      <c r="D163" s="4" t="s">
        <v>537</v>
      </c>
      <c r="E163" s="7"/>
      <c r="F163" s="4" t="s">
        <v>76</v>
      </c>
      <c r="G163" s="7"/>
      <c r="H163" s="4"/>
    </row>
    <row r="164" customFormat="false" ht="15" hidden="false" customHeight="false" outlineLevel="0" collapsed="false">
      <c r="A164" s="4" t="s">
        <v>538</v>
      </c>
      <c r="B164" s="5" t="s">
        <v>517</v>
      </c>
      <c r="C164" s="6" t="s">
        <v>539</v>
      </c>
      <c r="D164" s="4" t="s">
        <v>540</v>
      </c>
      <c r="E164" s="7"/>
      <c r="F164" s="4" t="s">
        <v>49</v>
      </c>
      <c r="G164" s="7"/>
      <c r="H164" s="4"/>
    </row>
    <row r="165" customFormat="false" ht="15" hidden="false" customHeight="false" outlineLevel="0" collapsed="false">
      <c r="A165" s="4" t="s">
        <v>541</v>
      </c>
      <c r="B165" s="5" t="s">
        <v>517</v>
      </c>
      <c r="C165" s="6" t="s">
        <v>542</v>
      </c>
      <c r="D165" s="4" t="s">
        <v>543</v>
      </c>
      <c r="E165" s="7"/>
      <c r="F165" s="4" t="s">
        <v>49</v>
      </c>
      <c r="G165" s="7"/>
      <c r="H165" s="4"/>
    </row>
    <row r="166" customFormat="false" ht="26.85" hidden="false" customHeight="false" outlineLevel="0" collapsed="false">
      <c r="A166" s="4" t="s">
        <v>544</v>
      </c>
      <c r="B166" s="5" t="s">
        <v>545</v>
      </c>
      <c r="C166" s="6" t="s">
        <v>546</v>
      </c>
      <c r="D166" s="4" t="s">
        <v>547</v>
      </c>
      <c r="E166" s="7"/>
      <c r="F166" s="4" t="s">
        <v>49</v>
      </c>
      <c r="G166" s="7"/>
      <c r="H166" s="4"/>
    </row>
    <row r="167" customFormat="false" ht="26.85" hidden="false" customHeight="false" outlineLevel="0" collapsed="false">
      <c r="A167" s="4" t="s">
        <v>548</v>
      </c>
      <c r="B167" s="5" t="s">
        <v>545</v>
      </c>
      <c r="C167" s="6" t="s">
        <v>549</v>
      </c>
      <c r="D167" s="4" t="s">
        <v>550</v>
      </c>
      <c r="E167" s="7"/>
      <c r="F167" s="4" t="s">
        <v>49</v>
      </c>
      <c r="G167" s="7"/>
      <c r="H167" s="4"/>
    </row>
    <row r="168" customFormat="false" ht="26.85" hidden="false" customHeight="false" outlineLevel="0" collapsed="false">
      <c r="A168" s="4" t="s">
        <v>551</v>
      </c>
      <c r="B168" s="5" t="s">
        <v>545</v>
      </c>
      <c r="C168" s="6" t="s">
        <v>552</v>
      </c>
      <c r="D168" s="4" t="s">
        <v>553</v>
      </c>
      <c r="E168" s="7"/>
      <c r="F168" s="4" t="s">
        <v>49</v>
      </c>
      <c r="G168" s="7"/>
      <c r="H168" s="4"/>
    </row>
    <row r="169" customFormat="false" ht="26.85" hidden="false" customHeight="false" outlineLevel="0" collapsed="false">
      <c r="A169" s="4" t="s">
        <v>554</v>
      </c>
      <c r="B169" s="5" t="s">
        <v>545</v>
      </c>
      <c r="C169" s="6" t="s">
        <v>555</v>
      </c>
      <c r="D169" s="4" t="s">
        <v>556</v>
      </c>
      <c r="E169" s="7"/>
      <c r="F169" s="4" t="s">
        <v>76</v>
      </c>
      <c r="G169" s="7"/>
      <c r="H169" s="4"/>
    </row>
    <row r="170" customFormat="false" ht="26.85" hidden="false" customHeight="false" outlineLevel="0" collapsed="false">
      <c r="A170" s="4" t="s">
        <v>557</v>
      </c>
      <c r="B170" s="5" t="s">
        <v>545</v>
      </c>
      <c r="C170" s="6" t="s">
        <v>558</v>
      </c>
      <c r="D170" s="4" t="s">
        <v>559</v>
      </c>
      <c r="E170" s="7"/>
      <c r="F170" s="4" t="s">
        <v>49</v>
      </c>
      <c r="G170" s="7"/>
      <c r="H170" s="4"/>
    </row>
    <row r="171" customFormat="false" ht="26.85" hidden="false" customHeight="false" outlineLevel="0" collapsed="false">
      <c r="A171" s="4" t="s">
        <v>560</v>
      </c>
      <c r="B171" s="5" t="s">
        <v>545</v>
      </c>
      <c r="C171" s="6" t="s">
        <v>561</v>
      </c>
      <c r="D171" s="4" t="s">
        <v>562</v>
      </c>
      <c r="E171" s="7"/>
      <c r="F171" s="4" t="s">
        <v>76</v>
      </c>
      <c r="G171" s="7"/>
      <c r="H171" s="4"/>
    </row>
    <row r="172" customFormat="false" ht="15" hidden="false" customHeight="false" outlineLevel="0" collapsed="false">
      <c r="A172" s="4" t="s">
        <v>563</v>
      </c>
      <c r="B172" s="5" t="s">
        <v>564</v>
      </c>
      <c r="C172" s="6" t="s">
        <v>565</v>
      </c>
      <c r="D172" s="4" t="s">
        <v>566</v>
      </c>
      <c r="E172" s="7"/>
      <c r="F172" s="4" t="s">
        <v>24</v>
      </c>
      <c r="G172" s="7"/>
      <c r="H172" s="4"/>
    </row>
    <row r="173" customFormat="false" ht="15" hidden="false" customHeight="false" outlineLevel="0" collapsed="false">
      <c r="A173" s="4" t="s">
        <v>567</v>
      </c>
      <c r="B173" s="5" t="s">
        <v>564</v>
      </c>
      <c r="C173" s="6" t="s">
        <v>568</v>
      </c>
      <c r="D173" s="4" t="s">
        <v>569</v>
      </c>
      <c r="E173" s="7"/>
      <c r="F173" s="4" t="s">
        <v>24</v>
      </c>
      <c r="G173" s="7"/>
      <c r="H173" s="4"/>
    </row>
    <row r="174" customFormat="false" ht="15" hidden="false" customHeight="false" outlineLevel="0" collapsed="false">
      <c r="A174" s="4" t="s">
        <v>570</v>
      </c>
      <c r="B174" s="5" t="s">
        <v>564</v>
      </c>
      <c r="C174" s="6" t="s">
        <v>571</v>
      </c>
      <c r="D174" s="4" t="s">
        <v>572</v>
      </c>
      <c r="E174" s="7"/>
      <c r="F174" s="4" t="s">
        <v>24</v>
      </c>
      <c r="G174" s="7"/>
      <c r="H174" s="4"/>
    </row>
    <row r="175" customFormat="false" ht="15" hidden="false" customHeight="false" outlineLevel="0" collapsed="false">
      <c r="A175" s="4" t="s">
        <v>573</v>
      </c>
      <c r="B175" s="5" t="s">
        <v>564</v>
      </c>
      <c r="C175" s="6" t="s">
        <v>574</v>
      </c>
      <c r="D175" s="4" t="s">
        <v>575</v>
      </c>
      <c r="E175" s="7"/>
      <c r="F175" s="4" t="s">
        <v>49</v>
      </c>
      <c r="G175" s="7"/>
      <c r="H175" s="4"/>
    </row>
    <row r="176" customFormat="false" ht="15" hidden="false" customHeight="false" outlineLevel="0" collapsed="false">
      <c r="A176" s="4" t="s">
        <v>576</v>
      </c>
      <c r="B176" s="5" t="s">
        <v>564</v>
      </c>
      <c r="C176" s="6" t="s">
        <v>577</v>
      </c>
      <c r="D176" s="4" t="s">
        <v>578</v>
      </c>
      <c r="E176" s="7"/>
      <c r="F176" s="4" t="s">
        <v>24</v>
      </c>
      <c r="G176" s="7"/>
      <c r="H176" s="4"/>
    </row>
    <row r="177" customFormat="false" ht="26.85" hidden="false" customHeight="false" outlineLevel="0" collapsed="false">
      <c r="A177" s="4" t="s">
        <v>579</v>
      </c>
      <c r="B177" s="5" t="s">
        <v>564</v>
      </c>
      <c r="C177" s="6" t="s">
        <v>580</v>
      </c>
      <c r="D177" s="4" t="s">
        <v>581</v>
      </c>
      <c r="E177" s="7"/>
      <c r="F177" s="4" t="s">
        <v>24</v>
      </c>
      <c r="G177" s="7"/>
      <c r="H177" s="4"/>
    </row>
    <row r="178" customFormat="false" ht="15" hidden="false" customHeight="false" outlineLevel="0" collapsed="false">
      <c r="A178" s="4" t="s">
        <v>582</v>
      </c>
      <c r="B178" s="5" t="s">
        <v>564</v>
      </c>
      <c r="C178" s="6" t="s">
        <v>583</v>
      </c>
      <c r="D178" s="4" t="s">
        <v>584</v>
      </c>
      <c r="E178" s="7"/>
      <c r="F178" s="4" t="s">
        <v>49</v>
      </c>
      <c r="G178" s="7"/>
      <c r="H178" s="4"/>
    </row>
    <row r="179" customFormat="false" ht="26.85" hidden="false" customHeight="false" outlineLevel="0" collapsed="false">
      <c r="A179" s="4" t="s">
        <v>585</v>
      </c>
      <c r="B179" s="5" t="s">
        <v>564</v>
      </c>
      <c r="C179" s="6" t="s">
        <v>586</v>
      </c>
      <c r="D179" s="4" t="s">
        <v>587</v>
      </c>
      <c r="E179" s="7"/>
      <c r="F179" s="4" t="s">
        <v>76</v>
      </c>
      <c r="G179" s="7"/>
      <c r="H179" s="4" t="s">
        <v>116</v>
      </c>
    </row>
    <row r="180" customFormat="false" ht="26.85" hidden="false" customHeight="false" outlineLevel="0" collapsed="false">
      <c r="A180" s="4" t="s">
        <v>588</v>
      </c>
      <c r="B180" s="5" t="s">
        <v>564</v>
      </c>
      <c r="C180" s="6" t="s">
        <v>589</v>
      </c>
      <c r="D180" s="4" t="s">
        <v>590</v>
      </c>
      <c r="E180" s="7"/>
      <c r="F180" s="4" t="s">
        <v>76</v>
      </c>
      <c r="G180" s="7"/>
      <c r="H180" s="4" t="s">
        <v>116</v>
      </c>
    </row>
    <row r="181" customFormat="false" ht="26.85" hidden="false" customHeight="false" outlineLevel="0" collapsed="false">
      <c r="A181" s="4" t="s">
        <v>591</v>
      </c>
      <c r="B181" s="5" t="s">
        <v>564</v>
      </c>
      <c r="C181" s="6" t="s">
        <v>592</v>
      </c>
      <c r="D181" s="4" t="s">
        <v>593</v>
      </c>
      <c r="E181" s="7"/>
      <c r="F181" s="4" t="s">
        <v>76</v>
      </c>
      <c r="G181" s="7"/>
      <c r="H181" s="4" t="s">
        <v>116</v>
      </c>
    </row>
    <row r="182" customFormat="false" ht="26.85" hidden="false" customHeight="false" outlineLevel="0" collapsed="false">
      <c r="A182" s="4" t="s">
        <v>594</v>
      </c>
      <c r="B182" s="5" t="s">
        <v>595</v>
      </c>
      <c r="C182" s="6" t="s">
        <v>596</v>
      </c>
      <c r="D182" s="4" t="s">
        <v>597</v>
      </c>
      <c r="E182" s="7"/>
      <c r="F182" s="4" t="s">
        <v>76</v>
      </c>
      <c r="G182" s="7"/>
      <c r="H182" s="4" t="s">
        <v>598</v>
      </c>
    </row>
    <row r="183" customFormat="false" ht="26.85" hidden="false" customHeight="false" outlineLevel="0" collapsed="false">
      <c r="A183" s="4" t="s">
        <v>599</v>
      </c>
      <c r="B183" s="5" t="s">
        <v>595</v>
      </c>
      <c r="C183" s="6" t="s">
        <v>600</v>
      </c>
      <c r="D183" s="4" t="s">
        <v>601</v>
      </c>
      <c r="E183" s="7"/>
      <c r="F183" s="4" t="s">
        <v>76</v>
      </c>
      <c r="G183" s="7"/>
      <c r="H183" s="4" t="s">
        <v>598</v>
      </c>
    </row>
    <row r="184" customFormat="false" ht="26.85" hidden="false" customHeight="false" outlineLevel="0" collapsed="false">
      <c r="A184" s="4" t="s">
        <v>602</v>
      </c>
      <c r="B184" s="5" t="s">
        <v>595</v>
      </c>
      <c r="C184" s="6" t="s">
        <v>603</v>
      </c>
      <c r="D184" s="4" t="s">
        <v>604</v>
      </c>
      <c r="E184" s="7"/>
      <c r="F184" s="4" t="s">
        <v>76</v>
      </c>
      <c r="G184" s="7"/>
      <c r="H184" s="4" t="s">
        <v>598</v>
      </c>
    </row>
    <row r="185" customFormat="false" ht="26.85" hidden="false" customHeight="false" outlineLevel="0" collapsed="false">
      <c r="A185" s="4" t="s">
        <v>605</v>
      </c>
      <c r="B185" s="5" t="s">
        <v>595</v>
      </c>
      <c r="C185" s="6" t="s">
        <v>606</v>
      </c>
      <c r="D185" s="4" t="s">
        <v>607</v>
      </c>
      <c r="E185" s="7"/>
      <c r="F185" s="4" t="s">
        <v>76</v>
      </c>
      <c r="G185" s="7"/>
      <c r="H185" s="4" t="s">
        <v>598</v>
      </c>
    </row>
    <row r="186" customFormat="false" ht="26.85" hidden="false" customHeight="false" outlineLevel="0" collapsed="false">
      <c r="A186" s="4" t="s">
        <v>608</v>
      </c>
      <c r="B186" s="5" t="s">
        <v>595</v>
      </c>
      <c r="C186" s="6" t="s">
        <v>609</v>
      </c>
      <c r="D186" s="4" t="s">
        <v>610</v>
      </c>
      <c r="E186" s="7"/>
      <c r="F186" s="4" t="s">
        <v>76</v>
      </c>
      <c r="G186" s="7"/>
      <c r="H186" s="4" t="s">
        <v>598</v>
      </c>
    </row>
  </sheetData>
  <autoFilter ref="A1:H186"/>
  <conditionalFormatting sqref="E2:F186">
    <cfRule type="cellIs" priority="2" operator="equal" aboveAverage="0" equalAverage="0" bottom="0" percent="0" rank="0" text="" dxfId="8">
      <formula>"MVP"</formula>
    </cfRule>
    <cfRule type="cellIs" priority="3" operator="equal" aboveAverage="0" equalAverage="0" bottom="0" percent="0" rank="0" text="" dxfId="9">
      <formula>"Good to have"</formula>
    </cfRule>
    <cfRule type="cellIs" priority="4" operator="equal" aboveAverage="0" equalAverage="0" bottom="0" percent="0" rank="0" text="" dxfId="10">
      <formula>"Future improvement"</formula>
    </cfRule>
  </conditionalFormatting>
  <dataValidations count="1">
    <dataValidation allowBlank="true" error="Choose MVP, Good to have or Future improvement" errorStyle="stop" errorTitle="Priority" operator="between" prompt="MVP, Good to have or Future improvement" promptTitle="Your priority" showDropDown="false" showErrorMessage="true" showInputMessage="false" sqref="E2:E186" type="list">
      <formula1>"MVP,Good to have,Future improvement"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8" t="s">
        <v>13</v>
      </c>
      <c r="B1" s="8" t="s">
        <v>24</v>
      </c>
      <c r="C1" s="8" t="s">
        <v>49</v>
      </c>
      <c r="D1" s="8" t="s">
        <v>76</v>
      </c>
      <c r="E1" s="8" t="s">
        <v>611</v>
      </c>
      <c r="F1" s="8" t="s">
        <v>612</v>
      </c>
    </row>
    <row r="2" customFormat="false" ht="15" hidden="false" customHeight="false" outlineLevel="0" collapsed="false">
      <c r="A2" s="9" t="s">
        <v>21</v>
      </c>
      <c r="B2" s="9" t="n">
        <f aca="false">COUNTIFS(Priorities!$B$2:$B$186,$A2,Priorities!$E$2:$E$186,"MVP")</f>
        <v>0</v>
      </c>
      <c r="C2" s="9" t="n">
        <f aca="false">COUNTIFS(Priorities!$B$2:$B$186,$A2,Priorities!$E$2:$E$186,"Good to have")</f>
        <v>0</v>
      </c>
      <c r="D2" s="9" t="n">
        <f aca="false">COUNTIFS(Priorities!$B$2:$B$186,$A2,Priorities!$E$2:$E$186,"Future improvement")</f>
        <v>0</v>
      </c>
      <c r="E2" s="9" t="n">
        <f aca="false">F2-B2-C2-D2</f>
        <v>7</v>
      </c>
      <c r="F2" s="9" t="n">
        <f aca="false">COUNTIF(Priorities!$B$2:$B$186,$A2)</f>
        <v>7</v>
      </c>
    </row>
    <row r="3" customFormat="false" ht="15" hidden="false" customHeight="false" outlineLevel="0" collapsed="false">
      <c r="A3" s="9" t="s">
        <v>52</v>
      </c>
      <c r="B3" s="9" t="n">
        <f aca="false">COUNTIFS(Priorities!$B$2:$B$186,$A3,Priorities!$E$2:$E$186,"MVP")</f>
        <v>0</v>
      </c>
      <c r="C3" s="9" t="n">
        <f aca="false">COUNTIFS(Priorities!$B$2:$B$186,$A3,Priorities!$E$2:$E$186,"Good to have")</f>
        <v>0</v>
      </c>
      <c r="D3" s="9" t="n">
        <f aca="false">COUNTIFS(Priorities!$B$2:$B$186,$A3,Priorities!$E$2:$E$186,"Future improvement")</f>
        <v>0</v>
      </c>
      <c r="E3" s="9" t="n">
        <f aca="false">F3-B3-C3-D3</f>
        <v>8</v>
      </c>
      <c r="F3" s="9" t="n">
        <f aca="false">COUNTIF(Priorities!$B$2:$B$186,$A3)</f>
        <v>8</v>
      </c>
    </row>
    <row r="4" customFormat="false" ht="15" hidden="false" customHeight="false" outlineLevel="0" collapsed="false">
      <c r="A4" s="9" t="s">
        <v>78</v>
      </c>
      <c r="B4" s="9" t="n">
        <f aca="false">COUNTIFS(Priorities!$B$2:$B$186,$A4,Priorities!$E$2:$E$186,"MVP")</f>
        <v>0</v>
      </c>
      <c r="C4" s="9" t="n">
        <f aca="false">COUNTIFS(Priorities!$B$2:$B$186,$A4,Priorities!$E$2:$E$186,"Good to have")</f>
        <v>0</v>
      </c>
      <c r="D4" s="9" t="n">
        <f aca="false">COUNTIFS(Priorities!$B$2:$B$186,$A4,Priorities!$E$2:$E$186,"Future improvement")</f>
        <v>0</v>
      </c>
      <c r="E4" s="9" t="n">
        <f aca="false">F4-B4-C4-D4</f>
        <v>12</v>
      </c>
      <c r="F4" s="9" t="n">
        <f aca="false">COUNTIF(Priorities!$B$2:$B$186,$A4)</f>
        <v>12</v>
      </c>
    </row>
    <row r="5" customFormat="false" ht="15" hidden="false" customHeight="false" outlineLevel="0" collapsed="false">
      <c r="A5" s="9" t="s">
        <v>118</v>
      </c>
      <c r="B5" s="9" t="n">
        <f aca="false">COUNTIFS(Priorities!$B$2:$B$186,$A5,Priorities!$E$2:$E$186,"MVP")</f>
        <v>0</v>
      </c>
      <c r="C5" s="9" t="n">
        <f aca="false">COUNTIFS(Priorities!$B$2:$B$186,$A5,Priorities!$E$2:$E$186,"Good to have")</f>
        <v>0</v>
      </c>
      <c r="D5" s="9" t="n">
        <f aca="false">COUNTIFS(Priorities!$B$2:$B$186,$A5,Priorities!$E$2:$E$186,"Future improvement")</f>
        <v>0</v>
      </c>
      <c r="E5" s="9" t="n">
        <f aca="false">F5-B5-C5-D5</f>
        <v>6</v>
      </c>
      <c r="F5" s="9" t="n">
        <f aca="false">COUNTIF(Priorities!$B$2:$B$186,$A5)</f>
        <v>6</v>
      </c>
    </row>
    <row r="6" customFormat="false" ht="15" hidden="false" customHeight="false" outlineLevel="0" collapsed="false">
      <c r="A6" s="9" t="s">
        <v>137</v>
      </c>
      <c r="B6" s="9" t="n">
        <f aca="false">COUNTIFS(Priorities!$B$2:$B$186,$A6,Priorities!$E$2:$E$186,"MVP")</f>
        <v>0</v>
      </c>
      <c r="C6" s="9" t="n">
        <f aca="false">COUNTIFS(Priorities!$B$2:$B$186,$A6,Priorities!$E$2:$E$186,"Good to have")</f>
        <v>0</v>
      </c>
      <c r="D6" s="9" t="n">
        <f aca="false">COUNTIFS(Priorities!$B$2:$B$186,$A6,Priorities!$E$2:$E$186,"Future improvement")</f>
        <v>0</v>
      </c>
      <c r="E6" s="9" t="n">
        <f aca="false">F6-B6-C6-D6</f>
        <v>10</v>
      </c>
      <c r="F6" s="9" t="n">
        <f aca="false">COUNTIF(Priorities!$B$2:$B$186,$A6)</f>
        <v>10</v>
      </c>
    </row>
    <row r="7" customFormat="false" ht="15" hidden="false" customHeight="false" outlineLevel="0" collapsed="false">
      <c r="A7" s="9" t="s">
        <v>169</v>
      </c>
      <c r="B7" s="9" t="n">
        <f aca="false">COUNTIFS(Priorities!$B$2:$B$186,$A7,Priorities!$E$2:$E$186,"MVP")</f>
        <v>0</v>
      </c>
      <c r="C7" s="9" t="n">
        <f aca="false">COUNTIFS(Priorities!$B$2:$B$186,$A7,Priorities!$E$2:$E$186,"Good to have")</f>
        <v>0</v>
      </c>
      <c r="D7" s="9" t="n">
        <f aca="false">COUNTIFS(Priorities!$B$2:$B$186,$A7,Priorities!$E$2:$E$186,"Future improvement")</f>
        <v>0</v>
      </c>
      <c r="E7" s="9" t="n">
        <f aca="false">F7-B7-C7-D7</f>
        <v>5</v>
      </c>
      <c r="F7" s="9" t="n">
        <f aca="false">COUNTIF(Priorities!$B$2:$B$186,$A7)</f>
        <v>5</v>
      </c>
    </row>
    <row r="8" customFormat="false" ht="15" hidden="false" customHeight="false" outlineLevel="0" collapsed="false">
      <c r="A8" s="9" t="s">
        <v>185</v>
      </c>
      <c r="B8" s="9" t="n">
        <f aca="false">COUNTIFS(Priorities!$B$2:$B$186,$A8,Priorities!$E$2:$E$186,"MVP")</f>
        <v>0</v>
      </c>
      <c r="C8" s="9" t="n">
        <f aca="false">COUNTIFS(Priorities!$B$2:$B$186,$A8,Priorities!$E$2:$E$186,"Good to have")</f>
        <v>0</v>
      </c>
      <c r="D8" s="9" t="n">
        <f aca="false">COUNTIFS(Priorities!$B$2:$B$186,$A8,Priorities!$E$2:$E$186,"Future improvement")</f>
        <v>0</v>
      </c>
      <c r="E8" s="9" t="n">
        <f aca="false">F8-B8-C8-D8</f>
        <v>14</v>
      </c>
      <c r="F8" s="9" t="n">
        <f aca="false">COUNTIF(Priorities!$B$2:$B$186,$A8)</f>
        <v>14</v>
      </c>
    </row>
    <row r="9" customFormat="false" ht="15" hidden="false" customHeight="false" outlineLevel="0" collapsed="false">
      <c r="A9" s="9" t="s">
        <v>228</v>
      </c>
      <c r="B9" s="9" t="n">
        <f aca="false">COUNTIFS(Priorities!$B$2:$B$186,$A9,Priorities!$E$2:$E$186,"MVP")</f>
        <v>0</v>
      </c>
      <c r="C9" s="9" t="n">
        <f aca="false">COUNTIFS(Priorities!$B$2:$B$186,$A9,Priorities!$E$2:$E$186,"Good to have")</f>
        <v>0</v>
      </c>
      <c r="D9" s="9" t="n">
        <f aca="false">COUNTIFS(Priorities!$B$2:$B$186,$A9,Priorities!$E$2:$E$186,"Future improvement")</f>
        <v>0</v>
      </c>
      <c r="E9" s="9" t="n">
        <f aca="false">F9-B9-C9-D9</f>
        <v>12</v>
      </c>
      <c r="F9" s="9" t="n">
        <f aca="false">COUNTIF(Priorities!$B$2:$B$186,$A9)</f>
        <v>12</v>
      </c>
    </row>
    <row r="10" customFormat="false" ht="15" hidden="false" customHeight="false" outlineLevel="0" collapsed="false">
      <c r="A10" s="9" t="s">
        <v>265</v>
      </c>
      <c r="B10" s="9" t="n">
        <f aca="false">COUNTIFS(Priorities!$B$2:$B$186,$A10,Priorities!$E$2:$E$186,"MVP")</f>
        <v>0</v>
      </c>
      <c r="C10" s="9" t="n">
        <f aca="false">COUNTIFS(Priorities!$B$2:$B$186,$A10,Priorities!$E$2:$E$186,"Good to have")</f>
        <v>0</v>
      </c>
      <c r="D10" s="9" t="n">
        <f aca="false">COUNTIFS(Priorities!$B$2:$B$186,$A10,Priorities!$E$2:$E$186,"Future improvement")</f>
        <v>0</v>
      </c>
      <c r="E10" s="9" t="n">
        <f aca="false">F10-B10-C10-D10</f>
        <v>13</v>
      </c>
      <c r="F10" s="9" t="n">
        <f aca="false">COUNTIF(Priorities!$B$2:$B$186,$A10)</f>
        <v>13</v>
      </c>
    </row>
    <row r="11" customFormat="false" ht="15" hidden="false" customHeight="false" outlineLevel="0" collapsed="false">
      <c r="A11" s="9" t="s">
        <v>305</v>
      </c>
      <c r="B11" s="9" t="n">
        <f aca="false">COUNTIFS(Priorities!$B$2:$B$186,$A11,Priorities!$E$2:$E$186,"MVP")</f>
        <v>0</v>
      </c>
      <c r="C11" s="9" t="n">
        <f aca="false">COUNTIFS(Priorities!$B$2:$B$186,$A11,Priorities!$E$2:$E$186,"Good to have")</f>
        <v>0</v>
      </c>
      <c r="D11" s="9" t="n">
        <f aca="false">COUNTIFS(Priorities!$B$2:$B$186,$A11,Priorities!$E$2:$E$186,"Future improvement")</f>
        <v>0</v>
      </c>
      <c r="E11" s="9" t="n">
        <f aca="false">F11-B11-C11-D11</f>
        <v>9</v>
      </c>
      <c r="F11" s="9" t="n">
        <f aca="false">COUNTIF(Priorities!$B$2:$B$186,$A11)</f>
        <v>9</v>
      </c>
    </row>
    <row r="12" customFormat="false" ht="15" hidden="false" customHeight="false" outlineLevel="0" collapsed="false">
      <c r="A12" s="9" t="s">
        <v>334</v>
      </c>
      <c r="B12" s="9" t="n">
        <f aca="false">COUNTIFS(Priorities!$B$2:$B$186,$A12,Priorities!$E$2:$E$186,"MVP")</f>
        <v>0</v>
      </c>
      <c r="C12" s="9" t="n">
        <f aca="false">COUNTIFS(Priorities!$B$2:$B$186,$A12,Priorities!$E$2:$E$186,"Good to have")</f>
        <v>0</v>
      </c>
      <c r="D12" s="9" t="n">
        <f aca="false">COUNTIFS(Priorities!$B$2:$B$186,$A12,Priorities!$E$2:$E$186,"Future improvement")</f>
        <v>0</v>
      </c>
      <c r="E12" s="9" t="n">
        <f aca="false">F12-B12-C12-D12</f>
        <v>11</v>
      </c>
      <c r="F12" s="9" t="n">
        <f aca="false">COUNTIF(Priorities!$B$2:$B$186,$A12)</f>
        <v>11</v>
      </c>
    </row>
    <row r="13" customFormat="false" ht="15" hidden="false" customHeight="false" outlineLevel="0" collapsed="false">
      <c r="A13" s="9" t="s">
        <v>368</v>
      </c>
      <c r="B13" s="9" t="n">
        <f aca="false">COUNTIFS(Priorities!$B$2:$B$186,$A13,Priorities!$E$2:$E$186,"MVP")</f>
        <v>0</v>
      </c>
      <c r="C13" s="9" t="n">
        <f aca="false">COUNTIFS(Priorities!$B$2:$B$186,$A13,Priorities!$E$2:$E$186,"Good to have")</f>
        <v>0</v>
      </c>
      <c r="D13" s="9" t="n">
        <f aca="false">COUNTIFS(Priorities!$B$2:$B$186,$A13,Priorities!$E$2:$E$186,"Future improvement")</f>
        <v>0</v>
      </c>
      <c r="E13" s="9" t="n">
        <f aca="false">F13-B13-C13-D13</f>
        <v>10</v>
      </c>
      <c r="F13" s="9" t="n">
        <f aca="false">COUNTIF(Priorities!$B$2:$B$186,$A13)</f>
        <v>10</v>
      </c>
    </row>
    <row r="14" customFormat="false" ht="15" hidden="false" customHeight="false" outlineLevel="0" collapsed="false">
      <c r="A14" s="9" t="s">
        <v>399</v>
      </c>
      <c r="B14" s="9" t="n">
        <f aca="false">COUNTIFS(Priorities!$B$2:$B$186,$A14,Priorities!$E$2:$E$186,"MVP")</f>
        <v>0</v>
      </c>
      <c r="C14" s="9" t="n">
        <f aca="false">COUNTIFS(Priorities!$B$2:$B$186,$A14,Priorities!$E$2:$E$186,"Good to have")</f>
        <v>0</v>
      </c>
      <c r="D14" s="9" t="n">
        <f aca="false">COUNTIFS(Priorities!$B$2:$B$186,$A14,Priorities!$E$2:$E$186,"Future improvement")</f>
        <v>0</v>
      </c>
      <c r="E14" s="9" t="n">
        <f aca="false">F14-B14-C14-D14</f>
        <v>8</v>
      </c>
      <c r="F14" s="9" t="n">
        <f aca="false">COUNTIF(Priorities!$B$2:$B$186,$A14)</f>
        <v>8</v>
      </c>
    </row>
    <row r="15" customFormat="false" ht="15" hidden="false" customHeight="false" outlineLevel="0" collapsed="false">
      <c r="A15" s="9" t="s">
        <v>424</v>
      </c>
      <c r="B15" s="9" t="n">
        <f aca="false">COUNTIFS(Priorities!$B$2:$B$186,$A15,Priorities!$E$2:$E$186,"MVP")</f>
        <v>0</v>
      </c>
      <c r="C15" s="9" t="n">
        <f aca="false">COUNTIFS(Priorities!$B$2:$B$186,$A15,Priorities!$E$2:$E$186,"Good to have")</f>
        <v>0</v>
      </c>
      <c r="D15" s="9" t="n">
        <f aca="false">COUNTIFS(Priorities!$B$2:$B$186,$A15,Priorities!$E$2:$E$186,"Future improvement")</f>
        <v>0</v>
      </c>
      <c r="E15" s="9" t="n">
        <f aca="false">F15-B15-C15-D15</f>
        <v>8</v>
      </c>
      <c r="F15" s="9" t="n">
        <f aca="false">COUNTIF(Priorities!$B$2:$B$186,$A15)</f>
        <v>8</v>
      </c>
    </row>
    <row r="16" customFormat="false" ht="15" hidden="false" customHeight="false" outlineLevel="0" collapsed="false">
      <c r="A16" s="9" t="s">
        <v>449</v>
      </c>
      <c r="B16" s="9" t="n">
        <f aca="false">COUNTIFS(Priorities!$B$2:$B$186,$A16,Priorities!$E$2:$E$186,"MVP")</f>
        <v>0</v>
      </c>
      <c r="C16" s="9" t="n">
        <f aca="false">COUNTIFS(Priorities!$B$2:$B$186,$A16,Priorities!$E$2:$E$186,"Good to have")</f>
        <v>0</v>
      </c>
      <c r="D16" s="9" t="n">
        <f aca="false">COUNTIFS(Priorities!$B$2:$B$186,$A16,Priorities!$E$2:$E$186,"Future improvement")</f>
        <v>0</v>
      </c>
      <c r="E16" s="9" t="n">
        <f aca="false">F16-B16-C16-D16</f>
        <v>9</v>
      </c>
      <c r="F16" s="9" t="n">
        <f aca="false">COUNTIF(Priorities!$B$2:$B$186,$A16)</f>
        <v>9</v>
      </c>
    </row>
    <row r="17" customFormat="false" ht="15" hidden="false" customHeight="false" outlineLevel="0" collapsed="false">
      <c r="A17" s="9" t="s">
        <v>477</v>
      </c>
      <c r="B17" s="9" t="n">
        <f aca="false">COUNTIFS(Priorities!$B$2:$B$186,$A17,Priorities!$E$2:$E$186,"MVP")</f>
        <v>0</v>
      </c>
      <c r="C17" s="9" t="n">
        <f aca="false">COUNTIFS(Priorities!$B$2:$B$186,$A17,Priorities!$E$2:$E$186,"Good to have")</f>
        <v>0</v>
      </c>
      <c r="D17" s="9" t="n">
        <f aca="false">COUNTIFS(Priorities!$B$2:$B$186,$A17,Priorities!$E$2:$E$186,"Future improvement")</f>
        <v>0</v>
      </c>
      <c r="E17" s="9" t="n">
        <f aca="false">F17-B17-C17-D17</f>
        <v>13</v>
      </c>
      <c r="F17" s="9" t="n">
        <f aca="false">COUNTIF(Priorities!$B$2:$B$186,$A17)</f>
        <v>13</v>
      </c>
    </row>
    <row r="18" customFormat="false" ht="15" hidden="false" customHeight="false" outlineLevel="0" collapsed="false">
      <c r="A18" s="9" t="s">
        <v>517</v>
      </c>
      <c r="B18" s="9" t="n">
        <f aca="false">COUNTIFS(Priorities!$B$2:$B$186,$A18,Priorities!$E$2:$E$186,"MVP")</f>
        <v>0</v>
      </c>
      <c r="C18" s="9" t="n">
        <f aca="false">COUNTIFS(Priorities!$B$2:$B$186,$A18,Priorities!$E$2:$E$186,"Good to have")</f>
        <v>0</v>
      </c>
      <c r="D18" s="9" t="n">
        <f aca="false">COUNTIFS(Priorities!$B$2:$B$186,$A18,Priorities!$E$2:$E$186,"Future improvement")</f>
        <v>0</v>
      </c>
      <c r="E18" s="9" t="n">
        <f aca="false">F18-B18-C18-D18</f>
        <v>9</v>
      </c>
      <c r="F18" s="9" t="n">
        <f aca="false">COUNTIF(Priorities!$B$2:$B$186,$A18)</f>
        <v>9</v>
      </c>
    </row>
    <row r="19" customFormat="false" ht="15" hidden="false" customHeight="false" outlineLevel="0" collapsed="false">
      <c r="A19" s="9" t="s">
        <v>545</v>
      </c>
      <c r="B19" s="9" t="n">
        <f aca="false">COUNTIFS(Priorities!$B$2:$B$186,$A19,Priorities!$E$2:$E$186,"MVP")</f>
        <v>0</v>
      </c>
      <c r="C19" s="9" t="n">
        <f aca="false">COUNTIFS(Priorities!$B$2:$B$186,$A19,Priorities!$E$2:$E$186,"Good to have")</f>
        <v>0</v>
      </c>
      <c r="D19" s="9" t="n">
        <f aca="false">COUNTIFS(Priorities!$B$2:$B$186,$A19,Priorities!$E$2:$E$186,"Future improvement")</f>
        <v>0</v>
      </c>
      <c r="E19" s="9" t="n">
        <f aca="false">F19-B19-C19-D19</f>
        <v>6</v>
      </c>
      <c r="F19" s="9" t="n">
        <f aca="false">COUNTIF(Priorities!$B$2:$B$186,$A19)</f>
        <v>6</v>
      </c>
    </row>
    <row r="20" customFormat="false" ht="15" hidden="false" customHeight="false" outlineLevel="0" collapsed="false">
      <c r="A20" s="9" t="s">
        <v>564</v>
      </c>
      <c r="B20" s="9" t="n">
        <f aca="false">COUNTIFS(Priorities!$B$2:$B$186,$A20,Priorities!$E$2:$E$186,"MVP")</f>
        <v>0</v>
      </c>
      <c r="C20" s="9" t="n">
        <f aca="false">COUNTIFS(Priorities!$B$2:$B$186,$A20,Priorities!$E$2:$E$186,"Good to have")</f>
        <v>0</v>
      </c>
      <c r="D20" s="9" t="n">
        <f aca="false">COUNTIFS(Priorities!$B$2:$B$186,$A20,Priorities!$E$2:$E$186,"Future improvement")</f>
        <v>0</v>
      </c>
      <c r="E20" s="9" t="n">
        <f aca="false">F20-B20-C20-D20</f>
        <v>10</v>
      </c>
      <c r="F20" s="9" t="n">
        <f aca="false">COUNTIF(Priorities!$B$2:$B$186,$A20)</f>
        <v>10</v>
      </c>
    </row>
    <row r="21" customFormat="false" ht="15" hidden="false" customHeight="false" outlineLevel="0" collapsed="false">
      <c r="A21" s="9" t="s">
        <v>595</v>
      </c>
      <c r="B21" s="9" t="n">
        <f aca="false">COUNTIFS(Priorities!$B$2:$B$186,$A21,Priorities!$E$2:$E$186,"MVP")</f>
        <v>0</v>
      </c>
      <c r="C21" s="9" t="n">
        <f aca="false">COUNTIFS(Priorities!$B$2:$B$186,$A21,Priorities!$E$2:$E$186,"Good to have")</f>
        <v>0</v>
      </c>
      <c r="D21" s="9" t="n">
        <f aca="false">COUNTIFS(Priorities!$B$2:$B$186,$A21,Priorities!$E$2:$E$186,"Future improvement")</f>
        <v>0</v>
      </c>
      <c r="E21" s="9" t="n">
        <f aca="false">F21-B21-C21-D21</f>
        <v>5</v>
      </c>
      <c r="F21" s="9" t="n">
        <f aca="false">COUNTIF(Priorities!$B$2:$B$186,$A21)</f>
        <v>5</v>
      </c>
    </row>
    <row r="22" customFormat="false" ht="15" hidden="false" customHeight="false" outlineLevel="0" collapsed="false">
      <c r="A22" s="10" t="s">
        <v>612</v>
      </c>
      <c r="B22" s="10" t="n">
        <f aca="false">SUM(B2:B21)</f>
        <v>0</v>
      </c>
      <c r="C22" s="10" t="n">
        <f aca="false">SUM(C2:C21)</f>
        <v>0</v>
      </c>
      <c r="D22" s="10" t="n">
        <f aca="false">SUM(D2:D21)</f>
        <v>0</v>
      </c>
      <c r="E22" s="10" t="n">
        <f aca="false">SUM(E2:E21)</f>
        <v>185</v>
      </c>
      <c r="F22" s="10" t="n">
        <f aca="false">SUM(F2:F21)</f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2026-10-20T01:26:25Z</dcterms:created>
  <dc:creator>openpyxl</dc:creator>
  <dc:description/>
  <dc:language>en-US</dc:language>
  <cp:lastModifiedBy/>
  <dcterms:modified xsi:type="dcterms:W3CDTF">2026-10-20T01:26:25Z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